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trlProps/ctrlProp1.xml" ContentType="application/vnd.ms-excel.controlproperties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uliah\Magang\SMANGAT\dashboard\"/>
    </mc:Choice>
  </mc:AlternateContent>
  <xr:revisionPtr revIDLastSave="0" documentId="13_ncr:1_{C7DCC86F-CE99-4873-AAFB-167CC05B9CDF}" xr6:coauthVersionLast="47" xr6:coauthVersionMax="47" xr10:uidLastSave="{00000000-0000-0000-0000-000000000000}"/>
  <bookViews>
    <workbookView xWindow="-110" yWindow="-110" windowWidth="19420" windowHeight="10300" xr2:uid="{4E87BC23-3DAE-4794-A1D9-DE7F335FE436}"/>
  </bookViews>
  <sheets>
    <sheet name="DASHBOARD" sheetId="1" r:id="rId1"/>
    <sheet name="Clinker" sheetId="3" r:id="rId2"/>
    <sheet name="Semen" sheetId="7" r:id="rId3"/>
    <sheet name="Database" sheetId="5" r:id="rId4"/>
    <sheet name="Sheet2" sheetId="2" r:id="rId5"/>
    <sheet name="AlatBantu" sheetId="6" r:id="rId6"/>
  </sheets>
  <definedNames>
    <definedName name="Berat">OFFSET(#REF!,1,0,COUNTA(#REF!),1)</definedName>
    <definedName name="Clinker">OFFSET(Database!#REF!,1,0,COUNTA(Clinker!$D:$D),21)</definedName>
    <definedName name="DBbulan">OFFSET(Database!$A$2,1,0,COUNTA(Database!$A:$A),1)</definedName>
    <definedName name="DBnegara">OFFSET(Database!$D$3,1,0,COUNTA(Database!$D:$D),1)</definedName>
    <definedName name="DBproduk">OFFSET(Database!$C$2,1,0,COUNTA(Database!$C:$C),1)</definedName>
    <definedName name="DBtahun">OFFSET(Database!$B$2,1,0,COUNTA(Database!$B:$B),1)</definedName>
    <definedName name="Negara">OFFSET(AlatBantu!$D$2,0,0,COUNTA(Database!$D:$D),1)</definedName>
    <definedName name="outputnegara">Sheet2!$R$10</definedName>
    <definedName name="outputPT">Sheet2!$N$3</definedName>
    <definedName name="outputTHN">Sheet2!$R$6</definedName>
    <definedName name="perusahaan">OFFSET(AlatBantu!$C$2,0,0,COUNTA(Database!$C:$C),1)</definedName>
    <definedName name="PT">Sheet2!$R$8</definedName>
    <definedName name="Semen">OFFSET(Semen!#REF!,0,0,COUNTA(Semen!$D:$D),21)</definedName>
    <definedName name="SP">OFFSET(Database!$E$3,1,0,COUNTA(Database!$E:$E),2)</definedName>
    <definedName name="tahun">OFFSET(AlatBantu!$B$2,0,0,COUNTA(Database!$B:$B),1)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5" i="5" l="1"/>
  <c r="AH6" i="5"/>
  <c r="AH7" i="5"/>
  <c r="AH8" i="5"/>
  <c r="AH9" i="5"/>
  <c r="AH10" i="5"/>
  <c r="AH11" i="5"/>
  <c r="AH12" i="5"/>
  <c r="AH13" i="5"/>
  <c r="AH14" i="5"/>
  <c r="AH15" i="5"/>
  <c r="AH16" i="5"/>
  <c r="AH17" i="5"/>
  <c r="AH18" i="5"/>
  <c r="AH19" i="5"/>
  <c r="AH20" i="5"/>
  <c r="AH21" i="5"/>
  <c r="AH22" i="5"/>
  <c r="AH23" i="5"/>
  <c r="AH24" i="5"/>
  <c r="AH25" i="5"/>
  <c r="AH26" i="5"/>
  <c r="AH27" i="5"/>
  <c r="AH28" i="5"/>
  <c r="AH29" i="5"/>
  <c r="AH30" i="5"/>
  <c r="AH31" i="5"/>
  <c r="AH32" i="5"/>
  <c r="AH33" i="5"/>
  <c r="AH34" i="5"/>
  <c r="AH35" i="5"/>
  <c r="AH36" i="5"/>
  <c r="AH37" i="5"/>
  <c r="AH38" i="5"/>
  <c r="AH39" i="5"/>
  <c r="AH40" i="5"/>
  <c r="AH41" i="5"/>
  <c r="AH42" i="5"/>
  <c r="AH43" i="5"/>
  <c r="AH44" i="5"/>
  <c r="AH45" i="5"/>
  <c r="AH46" i="5"/>
  <c r="AH47" i="5"/>
  <c r="AH48" i="5"/>
  <c r="AH49" i="5"/>
  <c r="AH50" i="5"/>
  <c r="AH51" i="5"/>
  <c r="AH52" i="5"/>
  <c r="AH53" i="5"/>
  <c r="AH54" i="5"/>
  <c r="AH55" i="5"/>
  <c r="AH56" i="5"/>
  <c r="AH57" i="5"/>
  <c r="AH58" i="5"/>
  <c r="AH59" i="5"/>
  <c r="AH60" i="5"/>
  <c r="AH61" i="5"/>
  <c r="AH62" i="5"/>
  <c r="AH63" i="5"/>
  <c r="AH64" i="5"/>
  <c r="AH65" i="5"/>
  <c r="AH66" i="5"/>
  <c r="AH67" i="5"/>
  <c r="AH68" i="5"/>
  <c r="AH69" i="5"/>
  <c r="AH70" i="5"/>
  <c r="AH71" i="5"/>
  <c r="AH72" i="5"/>
  <c r="AH73" i="5"/>
  <c r="AH74" i="5"/>
  <c r="AH75" i="5"/>
  <c r="AH76" i="5"/>
  <c r="AH77" i="5"/>
  <c r="AH78" i="5"/>
  <c r="AH79" i="5"/>
  <c r="AH80" i="5"/>
  <c r="AH81" i="5"/>
  <c r="AH82" i="5"/>
  <c r="AH83" i="5"/>
  <c r="AH84" i="5"/>
  <c r="AH85" i="5"/>
  <c r="AH86" i="5"/>
  <c r="AH87" i="5"/>
  <c r="AH88" i="5"/>
  <c r="AH89" i="5"/>
  <c r="AH90" i="5"/>
  <c r="AH91" i="5"/>
  <c r="AH92" i="5"/>
  <c r="AH93" i="5"/>
  <c r="AH94" i="5"/>
  <c r="AH95" i="5"/>
  <c r="AH96" i="5"/>
  <c r="AH97" i="5"/>
  <c r="AH98" i="5"/>
  <c r="AH99" i="5"/>
  <c r="AH100" i="5"/>
  <c r="AH101" i="5"/>
  <c r="AH102" i="5"/>
  <c r="AH103" i="5"/>
  <c r="AH104" i="5"/>
  <c r="AH105" i="5"/>
  <c r="AH106" i="5"/>
  <c r="AH107" i="5"/>
  <c r="AH108" i="5"/>
  <c r="AH109" i="5"/>
  <c r="AH110" i="5"/>
  <c r="AH111" i="5"/>
  <c r="AH112" i="5"/>
  <c r="AH113" i="5"/>
  <c r="AH114" i="5"/>
  <c r="AH115" i="5"/>
  <c r="AH116" i="5"/>
  <c r="AH117" i="5"/>
  <c r="AH118" i="5"/>
  <c r="AH119" i="5"/>
  <c r="AH120" i="5"/>
  <c r="AH121" i="5"/>
  <c r="AH122" i="5"/>
  <c r="AH123" i="5"/>
  <c r="AH124" i="5"/>
  <c r="AH125" i="5"/>
  <c r="AH126" i="5"/>
  <c r="AH127" i="5"/>
  <c r="AH128" i="5"/>
  <c r="AH129" i="5"/>
  <c r="AH130" i="5"/>
  <c r="AH131" i="5"/>
  <c r="AH132" i="5"/>
  <c r="AH133" i="5"/>
  <c r="AH134" i="5"/>
  <c r="AH135" i="5"/>
  <c r="AH136" i="5"/>
  <c r="AH137" i="5"/>
  <c r="AH138" i="5"/>
  <c r="AH139" i="5"/>
  <c r="AH140" i="5"/>
  <c r="AH141" i="5"/>
  <c r="AH142" i="5"/>
  <c r="AH143" i="5"/>
  <c r="AH144" i="5"/>
  <c r="AH145" i="5"/>
  <c r="AH146" i="5"/>
  <c r="AH147" i="5"/>
  <c r="AH148" i="5"/>
  <c r="AH149" i="5"/>
  <c r="AH150" i="5"/>
  <c r="AH151" i="5"/>
  <c r="AH152" i="5"/>
  <c r="AH153" i="5"/>
  <c r="AH154" i="5"/>
  <c r="AH155" i="5"/>
  <c r="AH156" i="5"/>
  <c r="AH157" i="5"/>
  <c r="AH158" i="5"/>
  <c r="AH159" i="5"/>
  <c r="AH160" i="5"/>
  <c r="AH161" i="5"/>
  <c r="AH162" i="5"/>
  <c r="AH163" i="5"/>
  <c r="AH164" i="5"/>
  <c r="AH165" i="5"/>
  <c r="AH166" i="5"/>
  <c r="AH167" i="5"/>
  <c r="AH168" i="5"/>
  <c r="AH169" i="5"/>
  <c r="AH170" i="5"/>
  <c r="AH171" i="5"/>
  <c r="AH172" i="5"/>
  <c r="AH173" i="5"/>
  <c r="AH174" i="5"/>
  <c r="AH175" i="5"/>
  <c r="AH176" i="5"/>
  <c r="AH177" i="5"/>
  <c r="AH178" i="5"/>
  <c r="AH179" i="5"/>
  <c r="AH180" i="5"/>
  <c r="AH181" i="5"/>
  <c r="AH182" i="5"/>
  <c r="AH183" i="5"/>
  <c r="AH184" i="5"/>
  <c r="AH185" i="5"/>
  <c r="AH186" i="5"/>
  <c r="AH187" i="5"/>
  <c r="AH188" i="5"/>
  <c r="AH189" i="5"/>
  <c r="AH190" i="5"/>
  <c r="AH191" i="5"/>
  <c r="AH192" i="5"/>
  <c r="AH193" i="5"/>
  <c r="AH194" i="5"/>
  <c r="AH195" i="5"/>
  <c r="AH196" i="5"/>
  <c r="AH197" i="5"/>
  <c r="AH198" i="5"/>
  <c r="AH199" i="5"/>
  <c r="AH200" i="5"/>
  <c r="AH201" i="5"/>
  <c r="AH202" i="5"/>
  <c r="AH203" i="5"/>
  <c r="AH204" i="5"/>
  <c r="AH205" i="5"/>
  <c r="AH206" i="5"/>
  <c r="AH207" i="5"/>
  <c r="AH208" i="5"/>
  <c r="AH209" i="5"/>
  <c r="AH210" i="5"/>
  <c r="AH211" i="5"/>
  <c r="AH212" i="5"/>
  <c r="AH213" i="5"/>
  <c r="AH214" i="5"/>
  <c r="AH215" i="5"/>
  <c r="AH216" i="5"/>
  <c r="AH217" i="5"/>
  <c r="AH218" i="5"/>
  <c r="AH219" i="5"/>
  <c r="AH220" i="5"/>
  <c r="AH221" i="5"/>
  <c r="AH222" i="5"/>
  <c r="AH223" i="5"/>
  <c r="AH224" i="5"/>
  <c r="AH225" i="5"/>
  <c r="AH226" i="5"/>
  <c r="AH227" i="5"/>
  <c r="AH228" i="5"/>
  <c r="AH229" i="5"/>
  <c r="AH230" i="5"/>
  <c r="AH231" i="5"/>
  <c r="AH232" i="5"/>
  <c r="AH233" i="5"/>
  <c r="AH234" i="5"/>
  <c r="AH235" i="5"/>
  <c r="AH236" i="5"/>
  <c r="AH237" i="5"/>
  <c r="AH238" i="5"/>
  <c r="AH239" i="5"/>
  <c r="AH240" i="5"/>
  <c r="AH241" i="5"/>
  <c r="AH242" i="5"/>
  <c r="AH243" i="5"/>
  <c r="AH244" i="5"/>
  <c r="AH245" i="5"/>
  <c r="AH246" i="5"/>
  <c r="AH247" i="5"/>
  <c r="AH248" i="5"/>
  <c r="AH249" i="5"/>
  <c r="AH250" i="5"/>
  <c r="AH251" i="5"/>
  <c r="AH252" i="5"/>
  <c r="AH253" i="5"/>
  <c r="AH254" i="5"/>
  <c r="AH255" i="5"/>
  <c r="AH256" i="5"/>
  <c r="AH257" i="5"/>
  <c r="AH258" i="5"/>
  <c r="AH259" i="5"/>
  <c r="AH260" i="5"/>
  <c r="AH261" i="5"/>
  <c r="AH262" i="5"/>
  <c r="AH263" i="5"/>
  <c r="AH264" i="5"/>
  <c r="AH265" i="5"/>
  <c r="AH266" i="5"/>
  <c r="AH267" i="5"/>
  <c r="AH268" i="5"/>
  <c r="AH269" i="5"/>
  <c r="AH270" i="5"/>
  <c r="AH271" i="5"/>
  <c r="AH272" i="5"/>
  <c r="AH273" i="5"/>
  <c r="AH274" i="5"/>
  <c r="AH275" i="5"/>
  <c r="AH276" i="5"/>
  <c r="AH277" i="5"/>
  <c r="AH278" i="5"/>
  <c r="AH279" i="5"/>
  <c r="AH280" i="5"/>
  <c r="AH281" i="5"/>
  <c r="AH282" i="5"/>
  <c r="AH283" i="5"/>
  <c r="AH284" i="5"/>
  <c r="AH285" i="5"/>
  <c r="AH286" i="5"/>
  <c r="AH287" i="5"/>
  <c r="AH288" i="5"/>
  <c r="AH289" i="5"/>
  <c r="AH290" i="5"/>
  <c r="AH291" i="5"/>
  <c r="AH292" i="5"/>
  <c r="AH293" i="5"/>
  <c r="AH294" i="5"/>
  <c r="AH295" i="5"/>
  <c r="AH296" i="5"/>
  <c r="AH297" i="5"/>
  <c r="AH298" i="5"/>
  <c r="AH299" i="5"/>
  <c r="AH300" i="5"/>
  <c r="AH301" i="5"/>
  <c r="AH302" i="5"/>
  <c r="AH303" i="5"/>
  <c r="AH304" i="5"/>
  <c r="AH305" i="5"/>
  <c r="AH306" i="5"/>
  <c r="AH307" i="5"/>
  <c r="AH308" i="5"/>
  <c r="AH309" i="5"/>
  <c r="AH310" i="5"/>
  <c r="AH311" i="5"/>
  <c r="AH312" i="5"/>
  <c r="AH313" i="5"/>
  <c r="AH314" i="5"/>
  <c r="AH315" i="5"/>
  <c r="AH316" i="5"/>
  <c r="AH317" i="5"/>
  <c r="AH318" i="5"/>
  <c r="AH319" i="5"/>
  <c r="AH320" i="5"/>
  <c r="AH321" i="5"/>
  <c r="AH322" i="5"/>
  <c r="AH323" i="5"/>
  <c r="AH324" i="5"/>
  <c r="AH325" i="5"/>
  <c r="AH326" i="5"/>
  <c r="AH327" i="5"/>
  <c r="AH328" i="5"/>
  <c r="AH329" i="5"/>
  <c r="AH330" i="5"/>
  <c r="AH331" i="5"/>
  <c r="AH332" i="5"/>
  <c r="AH333" i="5"/>
  <c r="AH334" i="5"/>
  <c r="AH335" i="5"/>
  <c r="AH336" i="5"/>
  <c r="AH337" i="5"/>
  <c r="AH338" i="5"/>
  <c r="AH339" i="5"/>
  <c r="AH340" i="5"/>
  <c r="AH341" i="5"/>
  <c r="AH342" i="5"/>
  <c r="AH343" i="5"/>
  <c r="AH344" i="5"/>
  <c r="AH345" i="5"/>
  <c r="AH346" i="5"/>
  <c r="AH347" i="5"/>
  <c r="AH348" i="5"/>
  <c r="AH349" i="5"/>
  <c r="AH350" i="5"/>
  <c r="AH351" i="5"/>
  <c r="AH352" i="5"/>
  <c r="AH353" i="5"/>
  <c r="AH354" i="5"/>
  <c r="AH355" i="5"/>
  <c r="AH356" i="5"/>
  <c r="AH357" i="5"/>
  <c r="AH358" i="5"/>
  <c r="AH359" i="5"/>
  <c r="AH360" i="5"/>
  <c r="AH361" i="5"/>
  <c r="AH362" i="5"/>
  <c r="AH363" i="5"/>
  <c r="AH364" i="5"/>
  <c r="AH365" i="5"/>
  <c r="AH366" i="5"/>
  <c r="AH367" i="5"/>
  <c r="AH368" i="5"/>
  <c r="AH369" i="5"/>
  <c r="AH370" i="5"/>
  <c r="AH371" i="5"/>
  <c r="AH372" i="5"/>
  <c r="AH373" i="5"/>
  <c r="AH374" i="5"/>
  <c r="AH375" i="5"/>
  <c r="AH376" i="5"/>
  <c r="AH377" i="5"/>
  <c r="AH378" i="5"/>
  <c r="AH379" i="5"/>
  <c r="AH380" i="5"/>
  <c r="AH381" i="5"/>
  <c r="AH382" i="5"/>
  <c r="AH383" i="5"/>
  <c r="AH384" i="5"/>
  <c r="AH385" i="5"/>
  <c r="AH386" i="5"/>
  <c r="AH387" i="5"/>
  <c r="AH388" i="5"/>
  <c r="AH389" i="5"/>
  <c r="AH390" i="5"/>
  <c r="AH391" i="5"/>
  <c r="AH392" i="5"/>
  <c r="AH393" i="5"/>
  <c r="AH394" i="5"/>
  <c r="AH395" i="5"/>
  <c r="AH396" i="5"/>
  <c r="AH397" i="5"/>
  <c r="AH398" i="5"/>
  <c r="AH399" i="5"/>
  <c r="AH400" i="5"/>
  <c r="AH401" i="5"/>
  <c r="AH402" i="5"/>
  <c r="AH403" i="5"/>
  <c r="AH404" i="5"/>
  <c r="AH405" i="5"/>
  <c r="AH406" i="5"/>
  <c r="AH407" i="5"/>
  <c r="AH408" i="5"/>
  <c r="AH409" i="5"/>
  <c r="AH410" i="5"/>
  <c r="AH411" i="5"/>
  <c r="AH412" i="5"/>
  <c r="AH413" i="5"/>
  <c r="AH414" i="5"/>
  <c r="AH415" i="5"/>
  <c r="AH416" i="5"/>
  <c r="AH417" i="5"/>
  <c r="AH418" i="5"/>
  <c r="AH419" i="5"/>
  <c r="AH420" i="5"/>
  <c r="AH421" i="5"/>
  <c r="AH422" i="5"/>
  <c r="AH423" i="5"/>
  <c r="AH424" i="5"/>
  <c r="AH425" i="5"/>
  <c r="AH426" i="5"/>
  <c r="AH427" i="5"/>
  <c r="AH428" i="5"/>
  <c r="AH429" i="5"/>
  <c r="AH430" i="5"/>
  <c r="AH431" i="5"/>
  <c r="AH432" i="5"/>
  <c r="AH433" i="5"/>
  <c r="AH434" i="5"/>
  <c r="AH435" i="5"/>
  <c r="AH436" i="5"/>
  <c r="AH437" i="5"/>
  <c r="AH438" i="5"/>
  <c r="AH439" i="5"/>
  <c r="AH440" i="5"/>
  <c r="AH441" i="5"/>
  <c r="AH442" i="5"/>
  <c r="AH443" i="5"/>
  <c r="AH444" i="5"/>
  <c r="AH445" i="5"/>
  <c r="AH446" i="5"/>
  <c r="AH447" i="5"/>
  <c r="AH448" i="5"/>
  <c r="AH449" i="5"/>
  <c r="AH450" i="5"/>
  <c r="AH451" i="5"/>
  <c r="AH452" i="5"/>
  <c r="AH453" i="5"/>
  <c r="AH454" i="5"/>
  <c r="AH455" i="5"/>
  <c r="AH456" i="5"/>
  <c r="AH457" i="5"/>
  <c r="AH458" i="5"/>
  <c r="AH459" i="5"/>
  <c r="AH460" i="5"/>
  <c r="AH461" i="5"/>
  <c r="AH462" i="5"/>
  <c r="AH463" i="5"/>
  <c r="AH464" i="5"/>
  <c r="AH465" i="5"/>
  <c r="AH466" i="5"/>
  <c r="AH467" i="5"/>
  <c r="AH468" i="5"/>
  <c r="AH469" i="5"/>
  <c r="AH470" i="5"/>
  <c r="AH471" i="5"/>
  <c r="AH472" i="5"/>
  <c r="AH473" i="5"/>
  <c r="AH474" i="5"/>
  <c r="AH475" i="5"/>
  <c r="AH476" i="5"/>
  <c r="AH477" i="5"/>
  <c r="AH478" i="5"/>
  <c r="AH479" i="5"/>
  <c r="AH480" i="5"/>
  <c r="AH481" i="5"/>
  <c r="AH482" i="5"/>
  <c r="AH483" i="5"/>
  <c r="AH484" i="5"/>
  <c r="AH485" i="5"/>
  <c r="AH486" i="5"/>
  <c r="AH487" i="5"/>
  <c r="AH488" i="5"/>
  <c r="AH489" i="5"/>
  <c r="AH490" i="5"/>
  <c r="AH491" i="5"/>
  <c r="AH492" i="5"/>
  <c r="AH493" i="5"/>
  <c r="AH494" i="5"/>
  <c r="AH495" i="5"/>
  <c r="AH496" i="5"/>
  <c r="AH497" i="5"/>
  <c r="AH498" i="5"/>
  <c r="AH499" i="5"/>
  <c r="AH500" i="5"/>
  <c r="AH501" i="5"/>
  <c r="AH502" i="5"/>
  <c r="AH503" i="5"/>
  <c r="AH504" i="5"/>
  <c r="AH505" i="5"/>
  <c r="AH506" i="5"/>
  <c r="AH507" i="5"/>
  <c r="AH508" i="5"/>
  <c r="AH509" i="5"/>
  <c r="AH510" i="5"/>
  <c r="AH511" i="5"/>
  <c r="AH512" i="5"/>
  <c r="AH513" i="5"/>
  <c r="AH514" i="5"/>
  <c r="AH515" i="5"/>
  <c r="AH516" i="5"/>
  <c r="AH517" i="5"/>
  <c r="AH518" i="5"/>
  <c r="AH519" i="5"/>
  <c r="AH520" i="5"/>
  <c r="AH521" i="5"/>
  <c r="AH522" i="5"/>
  <c r="AH523" i="5"/>
  <c r="AH524" i="5"/>
  <c r="AH525" i="5"/>
  <c r="AH526" i="5"/>
  <c r="AH527" i="5"/>
  <c r="AH528" i="5"/>
  <c r="AH529" i="5"/>
  <c r="AH530" i="5"/>
  <c r="AH531" i="5"/>
  <c r="AH532" i="5"/>
  <c r="AH533" i="5"/>
  <c r="AH534" i="5"/>
  <c r="AH535" i="5"/>
  <c r="AH536" i="5"/>
  <c r="AH537" i="5"/>
  <c r="AH538" i="5"/>
  <c r="AH539" i="5"/>
  <c r="AH540" i="5"/>
  <c r="AH541" i="5"/>
  <c r="AH542" i="5"/>
  <c r="AH543" i="5"/>
  <c r="AH544" i="5"/>
  <c r="AH545" i="5"/>
  <c r="AH546" i="5"/>
  <c r="AH547" i="5"/>
  <c r="AH548" i="5"/>
  <c r="AH549" i="5"/>
  <c r="AH550" i="5"/>
  <c r="AH551" i="5"/>
  <c r="AH552" i="5"/>
  <c r="AH553" i="5"/>
  <c r="AH554" i="5"/>
  <c r="AH555" i="5"/>
  <c r="AH556" i="5"/>
  <c r="AH557" i="5"/>
  <c r="AH558" i="5"/>
  <c r="AH559" i="5"/>
  <c r="AH560" i="5"/>
  <c r="AH561" i="5"/>
  <c r="AH562" i="5"/>
  <c r="AH563" i="5"/>
  <c r="AH564" i="5"/>
  <c r="AH565" i="5"/>
  <c r="AH566" i="5"/>
  <c r="AH567" i="5"/>
  <c r="AH568" i="5"/>
  <c r="AH569" i="5"/>
  <c r="AH570" i="5"/>
  <c r="AH571" i="5"/>
  <c r="AH572" i="5"/>
  <c r="AH573" i="5"/>
  <c r="AH574" i="5"/>
  <c r="AH575" i="5"/>
  <c r="AH576" i="5"/>
  <c r="AH577" i="5"/>
  <c r="AH578" i="5"/>
  <c r="AH579" i="5"/>
  <c r="AG5" i="5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5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1" i="5"/>
  <c r="AG92" i="5"/>
  <c r="AG93" i="5"/>
  <c r="AG94" i="5"/>
  <c r="AG95" i="5"/>
  <c r="AG96" i="5"/>
  <c r="AG97" i="5"/>
  <c r="AG98" i="5"/>
  <c r="AG99" i="5"/>
  <c r="AG100" i="5"/>
  <c r="AG101" i="5"/>
  <c r="AG102" i="5"/>
  <c r="AG103" i="5"/>
  <c r="AG104" i="5"/>
  <c r="AG105" i="5"/>
  <c r="AG106" i="5"/>
  <c r="AG107" i="5"/>
  <c r="AG108" i="5"/>
  <c r="AG109" i="5"/>
  <c r="AG110" i="5"/>
  <c r="AG111" i="5"/>
  <c r="AG112" i="5"/>
  <c r="AG113" i="5"/>
  <c r="AG114" i="5"/>
  <c r="AG115" i="5"/>
  <c r="AG116" i="5"/>
  <c r="AG117" i="5"/>
  <c r="AG118" i="5"/>
  <c r="AG119" i="5"/>
  <c r="AG120" i="5"/>
  <c r="AG121" i="5"/>
  <c r="AG122" i="5"/>
  <c r="AG123" i="5"/>
  <c r="AG124" i="5"/>
  <c r="AG125" i="5"/>
  <c r="AG126" i="5"/>
  <c r="AG127" i="5"/>
  <c r="AG128" i="5"/>
  <c r="AG129" i="5"/>
  <c r="AG130" i="5"/>
  <c r="AG131" i="5"/>
  <c r="AG132" i="5"/>
  <c r="AG133" i="5"/>
  <c r="AG134" i="5"/>
  <c r="AG135" i="5"/>
  <c r="AG136" i="5"/>
  <c r="AG137" i="5"/>
  <c r="AG138" i="5"/>
  <c r="AG139" i="5"/>
  <c r="AG140" i="5"/>
  <c r="AG141" i="5"/>
  <c r="AG142" i="5"/>
  <c r="AG143" i="5"/>
  <c r="AG144" i="5"/>
  <c r="AG145" i="5"/>
  <c r="AG146" i="5"/>
  <c r="AG147" i="5"/>
  <c r="AG148" i="5"/>
  <c r="AG149" i="5"/>
  <c r="AG150" i="5"/>
  <c r="AG151" i="5"/>
  <c r="AG152" i="5"/>
  <c r="AG153" i="5"/>
  <c r="AG154" i="5"/>
  <c r="AG155" i="5"/>
  <c r="AG156" i="5"/>
  <c r="AG157" i="5"/>
  <c r="AG158" i="5"/>
  <c r="AG159" i="5"/>
  <c r="AG160" i="5"/>
  <c r="AG161" i="5"/>
  <c r="AG162" i="5"/>
  <c r="AG163" i="5"/>
  <c r="AG164" i="5"/>
  <c r="AG165" i="5"/>
  <c r="AG166" i="5"/>
  <c r="AG167" i="5"/>
  <c r="AG168" i="5"/>
  <c r="AG169" i="5"/>
  <c r="AG170" i="5"/>
  <c r="AG171" i="5"/>
  <c r="AG172" i="5"/>
  <c r="AG173" i="5"/>
  <c r="AG174" i="5"/>
  <c r="AG175" i="5"/>
  <c r="AG176" i="5"/>
  <c r="AG177" i="5"/>
  <c r="AG178" i="5"/>
  <c r="AG179" i="5"/>
  <c r="AG180" i="5"/>
  <c r="AG181" i="5"/>
  <c r="AG182" i="5"/>
  <c r="AG183" i="5"/>
  <c r="AG184" i="5"/>
  <c r="AG185" i="5"/>
  <c r="AG186" i="5"/>
  <c r="AG187" i="5"/>
  <c r="AG188" i="5"/>
  <c r="AG189" i="5"/>
  <c r="AG190" i="5"/>
  <c r="AG191" i="5"/>
  <c r="AG192" i="5"/>
  <c r="AG193" i="5"/>
  <c r="AG194" i="5"/>
  <c r="AG195" i="5"/>
  <c r="AG196" i="5"/>
  <c r="AG197" i="5"/>
  <c r="AG198" i="5"/>
  <c r="AG199" i="5"/>
  <c r="AG200" i="5"/>
  <c r="AG201" i="5"/>
  <c r="AG202" i="5"/>
  <c r="AG203" i="5"/>
  <c r="AG204" i="5"/>
  <c r="AG205" i="5"/>
  <c r="AG206" i="5"/>
  <c r="AG207" i="5"/>
  <c r="AG208" i="5"/>
  <c r="AG209" i="5"/>
  <c r="AG210" i="5"/>
  <c r="AG211" i="5"/>
  <c r="AG212" i="5"/>
  <c r="AG213" i="5"/>
  <c r="AG214" i="5"/>
  <c r="AG215" i="5"/>
  <c r="AG216" i="5"/>
  <c r="AG217" i="5"/>
  <c r="AG218" i="5"/>
  <c r="AG219" i="5"/>
  <c r="AG220" i="5"/>
  <c r="AG221" i="5"/>
  <c r="AG222" i="5"/>
  <c r="AG223" i="5"/>
  <c r="AG224" i="5"/>
  <c r="AG225" i="5"/>
  <c r="AG226" i="5"/>
  <c r="AG227" i="5"/>
  <c r="AG228" i="5"/>
  <c r="AG229" i="5"/>
  <c r="AG230" i="5"/>
  <c r="AG231" i="5"/>
  <c r="AG232" i="5"/>
  <c r="AG233" i="5"/>
  <c r="AG234" i="5"/>
  <c r="AG235" i="5"/>
  <c r="AG236" i="5"/>
  <c r="AG237" i="5"/>
  <c r="AG238" i="5"/>
  <c r="AG239" i="5"/>
  <c r="AG240" i="5"/>
  <c r="AG241" i="5"/>
  <c r="AG242" i="5"/>
  <c r="AG243" i="5"/>
  <c r="AG244" i="5"/>
  <c r="AG245" i="5"/>
  <c r="AG246" i="5"/>
  <c r="AG247" i="5"/>
  <c r="AG248" i="5"/>
  <c r="AG249" i="5"/>
  <c r="AG250" i="5"/>
  <c r="AG251" i="5"/>
  <c r="AG252" i="5"/>
  <c r="AG253" i="5"/>
  <c r="AG254" i="5"/>
  <c r="AG255" i="5"/>
  <c r="AG256" i="5"/>
  <c r="AG257" i="5"/>
  <c r="AG258" i="5"/>
  <c r="AG259" i="5"/>
  <c r="AG260" i="5"/>
  <c r="AG261" i="5"/>
  <c r="AG262" i="5"/>
  <c r="AG263" i="5"/>
  <c r="AG264" i="5"/>
  <c r="AG265" i="5"/>
  <c r="AG266" i="5"/>
  <c r="AG267" i="5"/>
  <c r="AG268" i="5"/>
  <c r="AG269" i="5"/>
  <c r="AG270" i="5"/>
  <c r="AG271" i="5"/>
  <c r="AG272" i="5"/>
  <c r="AG273" i="5"/>
  <c r="AG274" i="5"/>
  <c r="AG275" i="5"/>
  <c r="AG276" i="5"/>
  <c r="AG277" i="5"/>
  <c r="AG278" i="5"/>
  <c r="AG279" i="5"/>
  <c r="AG280" i="5"/>
  <c r="AG281" i="5"/>
  <c r="AG282" i="5"/>
  <c r="AG283" i="5"/>
  <c r="AG284" i="5"/>
  <c r="AG285" i="5"/>
  <c r="AG286" i="5"/>
  <c r="AG287" i="5"/>
  <c r="AG288" i="5"/>
  <c r="AG289" i="5"/>
  <c r="AG290" i="5"/>
  <c r="AG291" i="5"/>
  <c r="AG292" i="5"/>
  <c r="AG293" i="5"/>
  <c r="AG294" i="5"/>
  <c r="AG295" i="5"/>
  <c r="AG296" i="5"/>
  <c r="AG297" i="5"/>
  <c r="AG298" i="5"/>
  <c r="AG299" i="5"/>
  <c r="AG300" i="5"/>
  <c r="AG301" i="5"/>
  <c r="AG302" i="5"/>
  <c r="AG303" i="5"/>
  <c r="AG304" i="5"/>
  <c r="AG305" i="5"/>
  <c r="AG306" i="5"/>
  <c r="AG307" i="5"/>
  <c r="AG308" i="5"/>
  <c r="AG309" i="5"/>
  <c r="AG310" i="5"/>
  <c r="AG311" i="5"/>
  <c r="AG312" i="5"/>
  <c r="AG313" i="5"/>
  <c r="AG314" i="5"/>
  <c r="AG315" i="5"/>
  <c r="AG316" i="5"/>
  <c r="AG317" i="5"/>
  <c r="AG318" i="5"/>
  <c r="AG319" i="5"/>
  <c r="AG320" i="5"/>
  <c r="AG321" i="5"/>
  <c r="AG322" i="5"/>
  <c r="AG323" i="5"/>
  <c r="AG324" i="5"/>
  <c r="AG325" i="5"/>
  <c r="AG326" i="5"/>
  <c r="AG327" i="5"/>
  <c r="AG328" i="5"/>
  <c r="AG329" i="5"/>
  <c r="AG330" i="5"/>
  <c r="AG331" i="5"/>
  <c r="AG332" i="5"/>
  <c r="AG333" i="5"/>
  <c r="AG334" i="5"/>
  <c r="AG335" i="5"/>
  <c r="AG336" i="5"/>
  <c r="AG337" i="5"/>
  <c r="AG338" i="5"/>
  <c r="AG339" i="5"/>
  <c r="AG340" i="5"/>
  <c r="AG341" i="5"/>
  <c r="AG342" i="5"/>
  <c r="AG343" i="5"/>
  <c r="AG344" i="5"/>
  <c r="AG345" i="5"/>
  <c r="AG346" i="5"/>
  <c r="AG347" i="5"/>
  <c r="AG348" i="5"/>
  <c r="AG349" i="5"/>
  <c r="AG350" i="5"/>
  <c r="AG351" i="5"/>
  <c r="AG352" i="5"/>
  <c r="AG353" i="5"/>
  <c r="AG354" i="5"/>
  <c r="AG355" i="5"/>
  <c r="AG356" i="5"/>
  <c r="AG357" i="5"/>
  <c r="AG358" i="5"/>
  <c r="AG359" i="5"/>
  <c r="AG360" i="5"/>
  <c r="AG361" i="5"/>
  <c r="AG362" i="5"/>
  <c r="AG363" i="5"/>
  <c r="AG364" i="5"/>
  <c r="AG365" i="5"/>
  <c r="AG366" i="5"/>
  <c r="AG367" i="5"/>
  <c r="AG368" i="5"/>
  <c r="AG369" i="5"/>
  <c r="AG370" i="5"/>
  <c r="AG371" i="5"/>
  <c r="AG372" i="5"/>
  <c r="AG373" i="5"/>
  <c r="AG374" i="5"/>
  <c r="AG375" i="5"/>
  <c r="AG376" i="5"/>
  <c r="AG377" i="5"/>
  <c r="AG378" i="5"/>
  <c r="AG379" i="5"/>
  <c r="AG380" i="5"/>
  <c r="AG381" i="5"/>
  <c r="AG382" i="5"/>
  <c r="AG383" i="5"/>
  <c r="AG384" i="5"/>
  <c r="AG385" i="5"/>
  <c r="AG386" i="5"/>
  <c r="AG387" i="5"/>
  <c r="AG388" i="5"/>
  <c r="AG389" i="5"/>
  <c r="AG390" i="5"/>
  <c r="AG391" i="5"/>
  <c r="AG392" i="5"/>
  <c r="AG393" i="5"/>
  <c r="AG394" i="5"/>
  <c r="AG395" i="5"/>
  <c r="AG396" i="5"/>
  <c r="AG397" i="5"/>
  <c r="AG398" i="5"/>
  <c r="AG399" i="5"/>
  <c r="AG400" i="5"/>
  <c r="AG401" i="5"/>
  <c r="AG402" i="5"/>
  <c r="AG403" i="5"/>
  <c r="AG404" i="5"/>
  <c r="AG405" i="5"/>
  <c r="AG406" i="5"/>
  <c r="AG407" i="5"/>
  <c r="AG408" i="5"/>
  <c r="AG409" i="5"/>
  <c r="AG410" i="5"/>
  <c r="AG411" i="5"/>
  <c r="AG412" i="5"/>
  <c r="AG413" i="5"/>
  <c r="AG414" i="5"/>
  <c r="AG415" i="5"/>
  <c r="AG416" i="5"/>
  <c r="AG417" i="5"/>
  <c r="AG418" i="5"/>
  <c r="AG419" i="5"/>
  <c r="AG420" i="5"/>
  <c r="AG421" i="5"/>
  <c r="AG422" i="5"/>
  <c r="AG423" i="5"/>
  <c r="AG424" i="5"/>
  <c r="AG425" i="5"/>
  <c r="AG426" i="5"/>
  <c r="AG427" i="5"/>
  <c r="AG428" i="5"/>
  <c r="AG429" i="5"/>
  <c r="AG430" i="5"/>
  <c r="AG431" i="5"/>
  <c r="AG432" i="5"/>
  <c r="AG433" i="5"/>
  <c r="AG434" i="5"/>
  <c r="AG435" i="5"/>
  <c r="AG436" i="5"/>
  <c r="AG437" i="5"/>
  <c r="AG438" i="5"/>
  <c r="AG439" i="5"/>
  <c r="AG440" i="5"/>
  <c r="AG441" i="5"/>
  <c r="AG442" i="5"/>
  <c r="AG443" i="5"/>
  <c r="AG444" i="5"/>
  <c r="AG445" i="5"/>
  <c r="AG446" i="5"/>
  <c r="AG447" i="5"/>
  <c r="AG448" i="5"/>
  <c r="AG449" i="5"/>
  <c r="AG450" i="5"/>
  <c r="AG451" i="5"/>
  <c r="AG452" i="5"/>
  <c r="AG453" i="5"/>
  <c r="AG454" i="5"/>
  <c r="AG455" i="5"/>
  <c r="AG456" i="5"/>
  <c r="AG457" i="5"/>
  <c r="AG458" i="5"/>
  <c r="AG459" i="5"/>
  <c r="AG460" i="5"/>
  <c r="AG461" i="5"/>
  <c r="AG462" i="5"/>
  <c r="AG463" i="5"/>
  <c r="AG464" i="5"/>
  <c r="AG465" i="5"/>
  <c r="AG466" i="5"/>
  <c r="AG467" i="5"/>
  <c r="AG468" i="5"/>
  <c r="AG469" i="5"/>
  <c r="AG470" i="5"/>
  <c r="AG471" i="5"/>
  <c r="AG472" i="5"/>
  <c r="AG473" i="5"/>
  <c r="AG474" i="5"/>
  <c r="AG475" i="5"/>
  <c r="AG476" i="5"/>
  <c r="AG477" i="5"/>
  <c r="AG478" i="5"/>
  <c r="AG479" i="5"/>
  <c r="AG480" i="5"/>
  <c r="AG481" i="5"/>
  <c r="AG482" i="5"/>
  <c r="AG483" i="5"/>
  <c r="AG484" i="5"/>
  <c r="AG485" i="5"/>
  <c r="AG486" i="5"/>
  <c r="AG487" i="5"/>
  <c r="AG488" i="5"/>
  <c r="AG489" i="5"/>
  <c r="AG490" i="5"/>
  <c r="AG491" i="5"/>
  <c r="AG492" i="5"/>
  <c r="AG493" i="5"/>
  <c r="AG494" i="5"/>
  <c r="AG495" i="5"/>
  <c r="AG496" i="5"/>
  <c r="AG497" i="5"/>
  <c r="AG498" i="5"/>
  <c r="AG499" i="5"/>
  <c r="AG500" i="5"/>
  <c r="AG501" i="5"/>
  <c r="AG502" i="5"/>
  <c r="AG503" i="5"/>
  <c r="AG504" i="5"/>
  <c r="AG505" i="5"/>
  <c r="AG506" i="5"/>
  <c r="AG507" i="5"/>
  <c r="AG508" i="5"/>
  <c r="AG509" i="5"/>
  <c r="AG510" i="5"/>
  <c r="AG511" i="5"/>
  <c r="AG512" i="5"/>
  <c r="AG513" i="5"/>
  <c r="AG514" i="5"/>
  <c r="AG515" i="5"/>
  <c r="AG516" i="5"/>
  <c r="AG517" i="5"/>
  <c r="AG518" i="5"/>
  <c r="AG519" i="5"/>
  <c r="AG520" i="5"/>
  <c r="AG521" i="5"/>
  <c r="AG522" i="5"/>
  <c r="AG523" i="5"/>
  <c r="AG524" i="5"/>
  <c r="AG525" i="5"/>
  <c r="AG526" i="5"/>
  <c r="AG527" i="5"/>
  <c r="AG528" i="5"/>
  <c r="AG529" i="5"/>
  <c r="AG530" i="5"/>
  <c r="AG531" i="5"/>
  <c r="AG532" i="5"/>
  <c r="AG533" i="5"/>
  <c r="AG534" i="5"/>
  <c r="AG535" i="5"/>
  <c r="AG536" i="5"/>
  <c r="AG537" i="5"/>
  <c r="AG538" i="5"/>
  <c r="AG539" i="5"/>
  <c r="AG540" i="5"/>
  <c r="AG541" i="5"/>
  <c r="AG542" i="5"/>
  <c r="AG543" i="5"/>
  <c r="AG544" i="5"/>
  <c r="AG545" i="5"/>
  <c r="AG546" i="5"/>
  <c r="AG547" i="5"/>
  <c r="AG548" i="5"/>
  <c r="AG549" i="5"/>
  <c r="AG550" i="5"/>
  <c r="AG551" i="5"/>
  <c r="AG552" i="5"/>
  <c r="AG553" i="5"/>
  <c r="AG554" i="5"/>
  <c r="AG555" i="5"/>
  <c r="AG556" i="5"/>
  <c r="AG557" i="5"/>
  <c r="AG558" i="5"/>
  <c r="AG559" i="5"/>
  <c r="AG560" i="5"/>
  <c r="AG561" i="5"/>
  <c r="AG562" i="5"/>
  <c r="AG563" i="5"/>
  <c r="AG564" i="5"/>
  <c r="AG565" i="5"/>
  <c r="AG566" i="5"/>
  <c r="AG567" i="5"/>
  <c r="AG568" i="5"/>
  <c r="AG569" i="5"/>
  <c r="AG570" i="5"/>
  <c r="AG571" i="5"/>
  <c r="AG572" i="5"/>
  <c r="AG573" i="5"/>
  <c r="AG574" i="5"/>
  <c r="AG575" i="5"/>
  <c r="AG576" i="5"/>
  <c r="AG577" i="5"/>
  <c r="AG578" i="5"/>
  <c r="AG579" i="5"/>
  <c r="AF5" i="5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3" i="5"/>
  <c r="AF104" i="5"/>
  <c r="AF105" i="5"/>
  <c r="AF106" i="5"/>
  <c r="AF107" i="5"/>
  <c r="AF108" i="5"/>
  <c r="AF109" i="5"/>
  <c r="AF110" i="5"/>
  <c r="AF111" i="5"/>
  <c r="AF112" i="5"/>
  <c r="AF113" i="5"/>
  <c r="AF114" i="5"/>
  <c r="AF115" i="5"/>
  <c r="AF116" i="5"/>
  <c r="AF117" i="5"/>
  <c r="AF118" i="5"/>
  <c r="AF119" i="5"/>
  <c r="AF120" i="5"/>
  <c r="AF121" i="5"/>
  <c r="AF122" i="5"/>
  <c r="AF123" i="5"/>
  <c r="AF124" i="5"/>
  <c r="AF125" i="5"/>
  <c r="AF126" i="5"/>
  <c r="AF127" i="5"/>
  <c r="AF128" i="5"/>
  <c r="AF129" i="5"/>
  <c r="AF130" i="5"/>
  <c r="AF131" i="5"/>
  <c r="AF132" i="5"/>
  <c r="AF133" i="5"/>
  <c r="AF134" i="5"/>
  <c r="AF135" i="5"/>
  <c r="AF136" i="5"/>
  <c r="AF137" i="5"/>
  <c r="AF138" i="5"/>
  <c r="AF139" i="5"/>
  <c r="AF140" i="5"/>
  <c r="AF141" i="5"/>
  <c r="AF142" i="5"/>
  <c r="AF143" i="5"/>
  <c r="AF144" i="5"/>
  <c r="AF145" i="5"/>
  <c r="AF146" i="5"/>
  <c r="AF147" i="5"/>
  <c r="AF148" i="5"/>
  <c r="AF149" i="5"/>
  <c r="AF150" i="5"/>
  <c r="AF151" i="5"/>
  <c r="AF152" i="5"/>
  <c r="AF153" i="5"/>
  <c r="AF154" i="5"/>
  <c r="AF155" i="5"/>
  <c r="AF156" i="5"/>
  <c r="AF157" i="5"/>
  <c r="AF158" i="5"/>
  <c r="AF159" i="5"/>
  <c r="AF160" i="5"/>
  <c r="AF161" i="5"/>
  <c r="AF162" i="5"/>
  <c r="AF163" i="5"/>
  <c r="AF164" i="5"/>
  <c r="AF165" i="5"/>
  <c r="AF166" i="5"/>
  <c r="AF167" i="5"/>
  <c r="AF168" i="5"/>
  <c r="AF169" i="5"/>
  <c r="AF170" i="5"/>
  <c r="AF171" i="5"/>
  <c r="AF172" i="5"/>
  <c r="AF173" i="5"/>
  <c r="AF174" i="5"/>
  <c r="AF175" i="5"/>
  <c r="AF176" i="5"/>
  <c r="AF177" i="5"/>
  <c r="AF178" i="5"/>
  <c r="AF179" i="5"/>
  <c r="AF180" i="5"/>
  <c r="AF181" i="5"/>
  <c r="AF182" i="5"/>
  <c r="AF183" i="5"/>
  <c r="AF184" i="5"/>
  <c r="AF185" i="5"/>
  <c r="AF186" i="5"/>
  <c r="AF187" i="5"/>
  <c r="AF188" i="5"/>
  <c r="AF189" i="5"/>
  <c r="AF190" i="5"/>
  <c r="AF191" i="5"/>
  <c r="AF192" i="5"/>
  <c r="AF193" i="5"/>
  <c r="AF194" i="5"/>
  <c r="AF195" i="5"/>
  <c r="AF196" i="5"/>
  <c r="AF197" i="5"/>
  <c r="AF198" i="5"/>
  <c r="AF199" i="5"/>
  <c r="AF200" i="5"/>
  <c r="AF201" i="5"/>
  <c r="AF202" i="5"/>
  <c r="AF203" i="5"/>
  <c r="AF204" i="5"/>
  <c r="AF205" i="5"/>
  <c r="AF206" i="5"/>
  <c r="AF207" i="5"/>
  <c r="AF208" i="5"/>
  <c r="AF209" i="5"/>
  <c r="AF210" i="5"/>
  <c r="AF211" i="5"/>
  <c r="AF212" i="5"/>
  <c r="AF213" i="5"/>
  <c r="AF214" i="5"/>
  <c r="AF215" i="5"/>
  <c r="AF216" i="5"/>
  <c r="AF217" i="5"/>
  <c r="AF218" i="5"/>
  <c r="AF219" i="5"/>
  <c r="AF220" i="5"/>
  <c r="AF221" i="5"/>
  <c r="AF222" i="5"/>
  <c r="AF223" i="5"/>
  <c r="AF224" i="5"/>
  <c r="AF225" i="5"/>
  <c r="AF226" i="5"/>
  <c r="AF227" i="5"/>
  <c r="AF228" i="5"/>
  <c r="AF229" i="5"/>
  <c r="AF230" i="5"/>
  <c r="AF231" i="5"/>
  <c r="AF232" i="5"/>
  <c r="AF233" i="5"/>
  <c r="AF234" i="5"/>
  <c r="AF235" i="5"/>
  <c r="AF236" i="5"/>
  <c r="AF237" i="5"/>
  <c r="AF238" i="5"/>
  <c r="AF239" i="5"/>
  <c r="AF240" i="5"/>
  <c r="AF241" i="5"/>
  <c r="AF242" i="5"/>
  <c r="AF243" i="5"/>
  <c r="AF244" i="5"/>
  <c r="AF245" i="5"/>
  <c r="AF246" i="5"/>
  <c r="AF247" i="5"/>
  <c r="AF248" i="5"/>
  <c r="AF249" i="5"/>
  <c r="AF250" i="5"/>
  <c r="AF251" i="5"/>
  <c r="AF252" i="5"/>
  <c r="AF253" i="5"/>
  <c r="AF254" i="5"/>
  <c r="AF255" i="5"/>
  <c r="AF256" i="5"/>
  <c r="AF257" i="5"/>
  <c r="AF258" i="5"/>
  <c r="AF259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4" i="5"/>
  <c r="AF275" i="5"/>
  <c r="AF276" i="5"/>
  <c r="AF277" i="5"/>
  <c r="AF278" i="5"/>
  <c r="AF279" i="5"/>
  <c r="AF280" i="5"/>
  <c r="AF281" i="5"/>
  <c r="AF282" i="5"/>
  <c r="AF283" i="5"/>
  <c r="AF284" i="5"/>
  <c r="AF285" i="5"/>
  <c r="AF286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8" i="5"/>
  <c r="AF309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5" i="5"/>
  <c r="AF326" i="5"/>
  <c r="AF327" i="5"/>
  <c r="AF328" i="5"/>
  <c r="AF329" i="5"/>
  <c r="AF330" i="5"/>
  <c r="AF331" i="5"/>
  <c r="AF332" i="5"/>
  <c r="AF333" i="5"/>
  <c r="AF334" i="5"/>
  <c r="AF335" i="5"/>
  <c r="AF336" i="5"/>
  <c r="AF337" i="5"/>
  <c r="AF338" i="5"/>
  <c r="AF339" i="5"/>
  <c r="AF340" i="5"/>
  <c r="AF341" i="5"/>
  <c r="AF342" i="5"/>
  <c r="AF343" i="5"/>
  <c r="AF344" i="5"/>
  <c r="AF345" i="5"/>
  <c r="AF346" i="5"/>
  <c r="AF347" i="5"/>
  <c r="AF348" i="5"/>
  <c r="AF349" i="5"/>
  <c r="AF350" i="5"/>
  <c r="AF351" i="5"/>
  <c r="AF352" i="5"/>
  <c r="AF353" i="5"/>
  <c r="AF354" i="5"/>
  <c r="AF355" i="5"/>
  <c r="AF356" i="5"/>
  <c r="AF357" i="5"/>
  <c r="AF358" i="5"/>
  <c r="AF359" i="5"/>
  <c r="AF360" i="5"/>
  <c r="AF361" i="5"/>
  <c r="AF362" i="5"/>
  <c r="AF363" i="5"/>
  <c r="AF364" i="5"/>
  <c r="AF365" i="5"/>
  <c r="AF366" i="5"/>
  <c r="AF367" i="5"/>
  <c r="AF368" i="5"/>
  <c r="AF369" i="5"/>
  <c r="AF370" i="5"/>
  <c r="AF371" i="5"/>
  <c r="AF372" i="5"/>
  <c r="AF373" i="5"/>
  <c r="AF374" i="5"/>
  <c r="AF375" i="5"/>
  <c r="AF376" i="5"/>
  <c r="AF377" i="5"/>
  <c r="AF378" i="5"/>
  <c r="AF379" i="5"/>
  <c r="AF380" i="5"/>
  <c r="AF381" i="5"/>
  <c r="AF382" i="5"/>
  <c r="AF383" i="5"/>
  <c r="AF384" i="5"/>
  <c r="AF385" i="5"/>
  <c r="AF386" i="5"/>
  <c r="AF387" i="5"/>
  <c r="AF388" i="5"/>
  <c r="AF389" i="5"/>
  <c r="AF390" i="5"/>
  <c r="AF391" i="5"/>
  <c r="AF392" i="5"/>
  <c r="AF393" i="5"/>
  <c r="AF394" i="5"/>
  <c r="AF395" i="5"/>
  <c r="AF396" i="5"/>
  <c r="AF397" i="5"/>
  <c r="AF398" i="5"/>
  <c r="AF399" i="5"/>
  <c r="AF400" i="5"/>
  <c r="AF401" i="5"/>
  <c r="AF402" i="5"/>
  <c r="AF403" i="5"/>
  <c r="AF404" i="5"/>
  <c r="AF405" i="5"/>
  <c r="AF406" i="5"/>
  <c r="AF407" i="5"/>
  <c r="AF408" i="5"/>
  <c r="AF409" i="5"/>
  <c r="AF410" i="5"/>
  <c r="AF411" i="5"/>
  <c r="AF412" i="5"/>
  <c r="AF413" i="5"/>
  <c r="AF414" i="5"/>
  <c r="AF415" i="5"/>
  <c r="AF416" i="5"/>
  <c r="AF417" i="5"/>
  <c r="AF418" i="5"/>
  <c r="AF419" i="5"/>
  <c r="AF420" i="5"/>
  <c r="AF421" i="5"/>
  <c r="AF422" i="5"/>
  <c r="AF423" i="5"/>
  <c r="AF424" i="5"/>
  <c r="AF425" i="5"/>
  <c r="AF426" i="5"/>
  <c r="AF427" i="5"/>
  <c r="AF428" i="5"/>
  <c r="AF429" i="5"/>
  <c r="AF430" i="5"/>
  <c r="AF431" i="5"/>
  <c r="AF432" i="5"/>
  <c r="AF433" i="5"/>
  <c r="AF434" i="5"/>
  <c r="AF435" i="5"/>
  <c r="AF436" i="5"/>
  <c r="AF437" i="5"/>
  <c r="AF438" i="5"/>
  <c r="AF439" i="5"/>
  <c r="AF440" i="5"/>
  <c r="AF441" i="5"/>
  <c r="AF442" i="5"/>
  <c r="AF443" i="5"/>
  <c r="AF444" i="5"/>
  <c r="AF445" i="5"/>
  <c r="AF446" i="5"/>
  <c r="AF447" i="5"/>
  <c r="AF448" i="5"/>
  <c r="AF449" i="5"/>
  <c r="AF450" i="5"/>
  <c r="AF451" i="5"/>
  <c r="AF452" i="5"/>
  <c r="AF453" i="5"/>
  <c r="AF454" i="5"/>
  <c r="AF455" i="5"/>
  <c r="AF456" i="5"/>
  <c r="AF457" i="5"/>
  <c r="AF458" i="5"/>
  <c r="AF459" i="5"/>
  <c r="AF460" i="5"/>
  <c r="AF461" i="5"/>
  <c r="AF462" i="5"/>
  <c r="AF463" i="5"/>
  <c r="AF464" i="5"/>
  <c r="AF465" i="5"/>
  <c r="AF466" i="5"/>
  <c r="AF467" i="5"/>
  <c r="AF468" i="5"/>
  <c r="AF469" i="5"/>
  <c r="AF470" i="5"/>
  <c r="AF471" i="5"/>
  <c r="AF472" i="5"/>
  <c r="AF473" i="5"/>
  <c r="AF474" i="5"/>
  <c r="AF475" i="5"/>
  <c r="AF476" i="5"/>
  <c r="AF477" i="5"/>
  <c r="AF478" i="5"/>
  <c r="AF479" i="5"/>
  <c r="AF480" i="5"/>
  <c r="AF481" i="5"/>
  <c r="AF482" i="5"/>
  <c r="AF483" i="5"/>
  <c r="AF484" i="5"/>
  <c r="AF485" i="5"/>
  <c r="AF486" i="5"/>
  <c r="AF487" i="5"/>
  <c r="AF488" i="5"/>
  <c r="AF489" i="5"/>
  <c r="AF490" i="5"/>
  <c r="AF491" i="5"/>
  <c r="AF492" i="5"/>
  <c r="AF493" i="5"/>
  <c r="AF494" i="5"/>
  <c r="AF495" i="5"/>
  <c r="AF496" i="5"/>
  <c r="AF497" i="5"/>
  <c r="AF498" i="5"/>
  <c r="AF499" i="5"/>
  <c r="AF500" i="5"/>
  <c r="AF501" i="5"/>
  <c r="AF502" i="5"/>
  <c r="AF503" i="5"/>
  <c r="AF504" i="5"/>
  <c r="AF505" i="5"/>
  <c r="AF506" i="5"/>
  <c r="AF507" i="5"/>
  <c r="AF508" i="5"/>
  <c r="AF509" i="5"/>
  <c r="AF510" i="5"/>
  <c r="AF511" i="5"/>
  <c r="AF512" i="5"/>
  <c r="AF513" i="5"/>
  <c r="AF514" i="5"/>
  <c r="AF515" i="5"/>
  <c r="AF516" i="5"/>
  <c r="AF517" i="5"/>
  <c r="AF518" i="5"/>
  <c r="AF519" i="5"/>
  <c r="AF520" i="5"/>
  <c r="AF521" i="5"/>
  <c r="AF522" i="5"/>
  <c r="AF523" i="5"/>
  <c r="AF524" i="5"/>
  <c r="AF525" i="5"/>
  <c r="AF526" i="5"/>
  <c r="AF527" i="5"/>
  <c r="AF528" i="5"/>
  <c r="AF529" i="5"/>
  <c r="AF530" i="5"/>
  <c r="AF531" i="5"/>
  <c r="AF532" i="5"/>
  <c r="AF533" i="5"/>
  <c r="AF534" i="5"/>
  <c r="AF535" i="5"/>
  <c r="AF536" i="5"/>
  <c r="AF537" i="5"/>
  <c r="AF538" i="5"/>
  <c r="AF539" i="5"/>
  <c r="AF540" i="5"/>
  <c r="AF541" i="5"/>
  <c r="AF542" i="5"/>
  <c r="AF543" i="5"/>
  <c r="AF544" i="5"/>
  <c r="AF545" i="5"/>
  <c r="AF546" i="5"/>
  <c r="AF547" i="5"/>
  <c r="AF548" i="5"/>
  <c r="AF549" i="5"/>
  <c r="AF550" i="5"/>
  <c r="AF551" i="5"/>
  <c r="AF552" i="5"/>
  <c r="AF553" i="5"/>
  <c r="AF554" i="5"/>
  <c r="AF555" i="5"/>
  <c r="AF556" i="5"/>
  <c r="AF557" i="5"/>
  <c r="AF558" i="5"/>
  <c r="AF559" i="5"/>
  <c r="AF560" i="5"/>
  <c r="AF561" i="5"/>
  <c r="AF562" i="5"/>
  <c r="AF563" i="5"/>
  <c r="AF564" i="5"/>
  <c r="AF565" i="5"/>
  <c r="AF566" i="5"/>
  <c r="AF567" i="5"/>
  <c r="AF568" i="5"/>
  <c r="AF569" i="5"/>
  <c r="AF570" i="5"/>
  <c r="AF571" i="5"/>
  <c r="AF572" i="5"/>
  <c r="AF573" i="5"/>
  <c r="AF574" i="5"/>
  <c r="AF575" i="5"/>
  <c r="AF576" i="5"/>
  <c r="AF577" i="5"/>
  <c r="AF578" i="5"/>
  <c r="AF579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491" i="5"/>
  <c r="AD492" i="5"/>
  <c r="AD493" i="5"/>
  <c r="AD494" i="5"/>
  <c r="AD495" i="5"/>
  <c r="AD496" i="5"/>
  <c r="AD497" i="5"/>
  <c r="AD498" i="5"/>
  <c r="AD499" i="5"/>
  <c r="AD500" i="5"/>
  <c r="AD501" i="5"/>
  <c r="AD502" i="5"/>
  <c r="AD503" i="5"/>
  <c r="AD504" i="5"/>
  <c r="AD505" i="5"/>
  <c r="AD506" i="5"/>
  <c r="AD507" i="5"/>
  <c r="AD508" i="5"/>
  <c r="AD509" i="5"/>
  <c r="AD510" i="5"/>
  <c r="AD511" i="5"/>
  <c r="AD512" i="5"/>
  <c r="AD513" i="5"/>
  <c r="AD514" i="5"/>
  <c r="AD515" i="5"/>
  <c r="AD516" i="5"/>
  <c r="AD517" i="5"/>
  <c r="AD518" i="5"/>
  <c r="AD519" i="5"/>
  <c r="AD520" i="5"/>
  <c r="AD521" i="5"/>
  <c r="AD522" i="5"/>
  <c r="AD523" i="5"/>
  <c r="AD524" i="5"/>
  <c r="AD525" i="5"/>
  <c r="AD526" i="5"/>
  <c r="AD527" i="5"/>
  <c r="AD528" i="5"/>
  <c r="AD529" i="5"/>
  <c r="AD530" i="5"/>
  <c r="AD531" i="5"/>
  <c r="AD532" i="5"/>
  <c r="AD533" i="5"/>
  <c r="AD534" i="5"/>
  <c r="AD535" i="5"/>
  <c r="AD536" i="5"/>
  <c r="AD537" i="5"/>
  <c r="AD538" i="5"/>
  <c r="AD539" i="5"/>
  <c r="AD540" i="5"/>
  <c r="AD541" i="5"/>
  <c r="AD542" i="5"/>
  <c r="AD543" i="5"/>
  <c r="AD544" i="5"/>
  <c r="AD545" i="5"/>
  <c r="AD546" i="5"/>
  <c r="AD547" i="5"/>
  <c r="AD548" i="5"/>
  <c r="AD549" i="5"/>
  <c r="AD550" i="5"/>
  <c r="AD551" i="5"/>
  <c r="AD552" i="5"/>
  <c r="AD553" i="5"/>
  <c r="AD554" i="5"/>
  <c r="AD555" i="5"/>
  <c r="AD556" i="5"/>
  <c r="AD557" i="5"/>
  <c r="AD558" i="5"/>
  <c r="AD559" i="5"/>
  <c r="AD560" i="5"/>
  <c r="AD561" i="5"/>
  <c r="AD562" i="5"/>
  <c r="AD563" i="5"/>
  <c r="AD564" i="5"/>
  <c r="AD565" i="5"/>
  <c r="AD566" i="5"/>
  <c r="AD567" i="5"/>
  <c r="AD568" i="5"/>
  <c r="AD569" i="5"/>
  <c r="AD570" i="5"/>
  <c r="AD571" i="5"/>
  <c r="AD572" i="5"/>
  <c r="AD573" i="5"/>
  <c r="AD574" i="5"/>
  <c r="AD575" i="5"/>
  <c r="AD576" i="5"/>
  <c r="AD577" i="5"/>
  <c r="AD578" i="5"/>
  <c r="AD579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244" i="5"/>
  <c r="AC245" i="5"/>
  <c r="AC246" i="5"/>
  <c r="AC247" i="5"/>
  <c r="AC248" i="5"/>
  <c r="AC249" i="5"/>
  <c r="AC250" i="5"/>
  <c r="AC251" i="5"/>
  <c r="AC252" i="5"/>
  <c r="AC253" i="5"/>
  <c r="AC254" i="5"/>
  <c r="AC255" i="5"/>
  <c r="AC256" i="5"/>
  <c r="AC257" i="5"/>
  <c r="AC258" i="5"/>
  <c r="AC259" i="5"/>
  <c r="AC260" i="5"/>
  <c r="AC261" i="5"/>
  <c r="AC262" i="5"/>
  <c r="AC263" i="5"/>
  <c r="AC264" i="5"/>
  <c r="AC265" i="5"/>
  <c r="AC266" i="5"/>
  <c r="AC267" i="5"/>
  <c r="AC268" i="5"/>
  <c r="AC269" i="5"/>
  <c r="AC270" i="5"/>
  <c r="AC271" i="5"/>
  <c r="AC272" i="5"/>
  <c r="AC273" i="5"/>
  <c r="AC274" i="5"/>
  <c r="AC275" i="5"/>
  <c r="AC276" i="5"/>
  <c r="AC277" i="5"/>
  <c r="AC278" i="5"/>
  <c r="AC279" i="5"/>
  <c r="AC280" i="5"/>
  <c r="AC281" i="5"/>
  <c r="AC282" i="5"/>
  <c r="AC283" i="5"/>
  <c r="AC284" i="5"/>
  <c r="AC285" i="5"/>
  <c r="AC286" i="5"/>
  <c r="AC287" i="5"/>
  <c r="AC288" i="5"/>
  <c r="AC289" i="5"/>
  <c r="AC290" i="5"/>
  <c r="AC291" i="5"/>
  <c r="AC292" i="5"/>
  <c r="AC293" i="5"/>
  <c r="AC294" i="5"/>
  <c r="AC295" i="5"/>
  <c r="AC296" i="5"/>
  <c r="AC297" i="5"/>
  <c r="AC298" i="5"/>
  <c r="AC299" i="5"/>
  <c r="AC300" i="5"/>
  <c r="AC301" i="5"/>
  <c r="AC302" i="5"/>
  <c r="AC303" i="5"/>
  <c r="AC304" i="5"/>
  <c r="AC305" i="5"/>
  <c r="AC306" i="5"/>
  <c r="AC307" i="5"/>
  <c r="AC308" i="5"/>
  <c r="AC309" i="5"/>
  <c r="AC310" i="5"/>
  <c r="AC311" i="5"/>
  <c r="AC312" i="5"/>
  <c r="AC313" i="5"/>
  <c r="AC314" i="5"/>
  <c r="AC315" i="5"/>
  <c r="AC316" i="5"/>
  <c r="AC317" i="5"/>
  <c r="AC318" i="5"/>
  <c r="AC319" i="5"/>
  <c r="AC320" i="5"/>
  <c r="AC321" i="5"/>
  <c r="AC322" i="5"/>
  <c r="AC323" i="5"/>
  <c r="AC324" i="5"/>
  <c r="AC325" i="5"/>
  <c r="AC326" i="5"/>
  <c r="AC327" i="5"/>
  <c r="AC328" i="5"/>
  <c r="AC329" i="5"/>
  <c r="AC330" i="5"/>
  <c r="AC331" i="5"/>
  <c r="AC332" i="5"/>
  <c r="AC333" i="5"/>
  <c r="AC334" i="5"/>
  <c r="AC335" i="5"/>
  <c r="AC336" i="5"/>
  <c r="AC337" i="5"/>
  <c r="AC338" i="5"/>
  <c r="AC339" i="5"/>
  <c r="AC340" i="5"/>
  <c r="AC341" i="5"/>
  <c r="AC342" i="5"/>
  <c r="AC343" i="5"/>
  <c r="AC344" i="5"/>
  <c r="AC345" i="5"/>
  <c r="AC346" i="5"/>
  <c r="AC347" i="5"/>
  <c r="AC348" i="5"/>
  <c r="AC349" i="5"/>
  <c r="AC350" i="5"/>
  <c r="AC351" i="5"/>
  <c r="AC352" i="5"/>
  <c r="AC353" i="5"/>
  <c r="AC354" i="5"/>
  <c r="AC355" i="5"/>
  <c r="AC356" i="5"/>
  <c r="AC357" i="5"/>
  <c r="AC358" i="5"/>
  <c r="AC359" i="5"/>
  <c r="AC360" i="5"/>
  <c r="AC361" i="5"/>
  <c r="AC362" i="5"/>
  <c r="AC363" i="5"/>
  <c r="AC364" i="5"/>
  <c r="AC365" i="5"/>
  <c r="AC366" i="5"/>
  <c r="AC367" i="5"/>
  <c r="AC368" i="5"/>
  <c r="AC369" i="5"/>
  <c r="AC370" i="5"/>
  <c r="AC371" i="5"/>
  <c r="AC372" i="5"/>
  <c r="AC373" i="5"/>
  <c r="AC374" i="5"/>
  <c r="AC375" i="5"/>
  <c r="AC376" i="5"/>
  <c r="AC377" i="5"/>
  <c r="AC378" i="5"/>
  <c r="AC379" i="5"/>
  <c r="AC380" i="5"/>
  <c r="AC381" i="5"/>
  <c r="AC382" i="5"/>
  <c r="AC383" i="5"/>
  <c r="AC384" i="5"/>
  <c r="AC385" i="5"/>
  <c r="AC386" i="5"/>
  <c r="AC387" i="5"/>
  <c r="AC388" i="5"/>
  <c r="AC389" i="5"/>
  <c r="AC390" i="5"/>
  <c r="AC391" i="5"/>
  <c r="AC392" i="5"/>
  <c r="AC393" i="5"/>
  <c r="AC394" i="5"/>
  <c r="AC395" i="5"/>
  <c r="AC396" i="5"/>
  <c r="AC397" i="5"/>
  <c r="AC398" i="5"/>
  <c r="AC399" i="5"/>
  <c r="AC400" i="5"/>
  <c r="AC401" i="5"/>
  <c r="AC402" i="5"/>
  <c r="AC403" i="5"/>
  <c r="AC404" i="5"/>
  <c r="AC405" i="5"/>
  <c r="AC406" i="5"/>
  <c r="AC407" i="5"/>
  <c r="AC408" i="5"/>
  <c r="AC409" i="5"/>
  <c r="AC410" i="5"/>
  <c r="AC411" i="5"/>
  <c r="AC412" i="5"/>
  <c r="AC413" i="5"/>
  <c r="AC414" i="5"/>
  <c r="AC415" i="5"/>
  <c r="AC416" i="5"/>
  <c r="AC417" i="5"/>
  <c r="AC418" i="5"/>
  <c r="AC419" i="5"/>
  <c r="AC420" i="5"/>
  <c r="AC421" i="5"/>
  <c r="AC422" i="5"/>
  <c r="AC423" i="5"/>
  <c r="AC424" i="5"/>
  <c r="AC425" i="5"/>
  <c r="AC426" i="5"/>
  <c r="AC427" i="5"/>
  <c r="AC428" i="5"/>
  <c r="AC429" i="5"/>
  <c r="AC430" i="5"/>
  <c r="AC431" i="5"/>
  <c r="AC432" i="5"/>
  <c r="AC433" i="5"/>
  <c r="AC434" i="5"/>
  <c r="AC435" i="5"/>
  <c r="AC436" i="5"/>
  <c r="AC437" i="5"/>
  <c r="AC438" i="5"/>
  <c r="AC439" i="5"/>
  <c r="AC440" i="5"/>
  <c r="AC441" i="5"/>
  <c r="AC442" i="5"/>
  <c r="AC443" i="5"/>
  <c r="AC444" i="5"/>
  <c r="AC445" i="5"/>
  <c r="AC446" i="5"/>
  <c r="AC447" i="5"/>
  <c r="AC448" i="5"/>
  <c r="AC449" i="5"/>
  <c r="AC450" i="5"/>
  <c r="AC451" i="5"/>
  <c r="AC452" i="5"/>
  <c r="AC453" i="5"/>
  <c r="AC454" i="5"/>
  <c r="AC455" i="5"/>
  <c r="AC456" i="5"/>
  <c r="AC457" i="5"/>
  <c r="AC458" i="5"/>
  <c r="AC459" i="5"/>
  <c r="AC460" i="5"/>
  <c r="AC461" i="5"/>
  <c r="AC462" i="5"/>
  <c r="AC463" i="5"/>
  <c r="AC464" i="5"/>
  <c r="AC465" i="5"/>
  <c r="AC466" i="5"/>
  <c r="AC467" i="5"/>
  <c r="AC468" i="5"/>
  <c r="AC469" i="5"/>
  <c r="AC470" i="5"/>
  <c r="AC471" i="5"/>
  <c r="AC472" i="5"/>
  <c r="AC473" i="5"/>
  <c r="AC474" i="5"/>
  <c r="AC475" i="5"/>
  <c r="AC476" i="5"/>
  <c r="AC477" i="5"/>
  <c r="AC478" i="5"/>
  <c r="AC479" i="5"/>
  <c r="AC480" i="5"/>
  <c r="AC481" i="5"/>
  <c r="AC482" i="5"/>
  <c r="AC483" i="5"/>
  <c r="AC484" i="5"/>
  <c r="AC485" i="5"/>
  <c r="AC486" i="5"/>
  <c r="AC487" i="5"/>
  <c r="AC488" i="5"/>
  <c r="AC489" i="5"/>
  <c r="AC490" i="5"/>
  <c r="AC491" i="5"/>
  <c r="AC492" i="5"/>
  <c r="AC493" i="5"/>
  <c r="AC494" i="5"/>
  <c r="AC495" i="5"/>
  <c r="AC496" i="5"/>
  <c r="AC497" i="5"/>
  <c r="AC498" i="5"/>
  <c r="AC499" i="5"/>
  <c r="AC500" i="5"/>
  <c r="AC501" i="5"/>
  <c r="AC502" i="5"/>
  <c r="AC503" i="5"/>
  <c r="AC504" i="5"/>
  <c r="AC505" i="5"/>
  <c r="AC506" i="5"/>
  <c r="AC507" i="5"/>
  <c r="AC508" i="5"/>
  <c r="AC509" i="5"/>
  <c r="AC510" i="5"/>
  <c r="AC511" i="5"/>
  <c r="AC512" i="5"/>
  <c r="AC513" i="5"/>
  <c r="AC514" i="5"/>
  <c r="AC515" i="5"/>
  <c r="AC516" i="5"/>
  <c r="AC517" i="5"/>
  <c r="AC518" i="5"/>
  <c r="AC519" i="5"/>
  <c r="AC520" i="5"/>
  <c r="AC521" i="5"/>
  <c r="AC522" i="5"/>
  <c r="AC523" i="5"/>
  <c r="AC524" i="5"/>
  <c r="AC525" i="5"/>
  <c r="AC526" i="5"/>
  <c r="AC527" i="5"/>
  <c r="AC528" i="5"/>
  <c r="AC529" i="5"/>
  <c r="AC530" i="5"/>
  <c r="AC531" i="5"/>
  <c r="AC532" i="5"/>
  <c r="AC533" i="5"/>
  <c r="AC534" i="5"/>
  <c r="AC535" i="5"/>
  <c r="AC536" i="5"/>
  <c r="AC537" i="5"/>
  <c r="AC538" i="5"/>
  <c r="AC539" i="5"/>
  <c r="AC540" i="5"/>
  <c r="AC541" i="5"/>
  <c r="AC542" i="5"/>
  <c r="AC543" i="5"/>
  <c r="AC544" i="5"/>
  <c r="AC545" i="5"/>
  <c r="AC546" i="5"/>
  <c r="AC547" i="5"/>
  <c r="AC548" i="5"/>
  <c r="AC549" i="5"/>
  <c r="AC550" i="5"/>
  <c r="AC551" i="5"/>
  <c r="AC552" i="5"/>
  <c r="AC553" i="5"/>
  <c r="AC554" i="5"/>
  <c r="AC555" i="5"/>
  <c r="AC556" i="5"/>
  <c r="AC557" i="5"/>
  <c r="AC558" i="5"/>
  <c r="AC559" i="5"/>
  <c r="AC560" i="5"/>
  <c r="AC561" i="5"/>
  <c r="AC562" i="5"/>
  <c r="AC563" i="5"/>
  <c r="AC564" i="5"/>
  <c r="AC565" i="5"/>
  <c r="AC566" i="5"/>
  <c r="AC567" i="5"/>
  <c r="AC568" i="5"/>
  <c r="AC569" i="5"/>
  <c r="AC570" i="5"/>
  <c r="AC571" i="5"/>
  <c r="AC572" i="5"/>
  <c r="AC573" i="5"/>
  <c r="AC574" i="5"/>
  <c r="AC575" i="5"/>
  <c r="AC576" i="5"/>
  <c r="AC577" i="5"/>
  <c r="AC578" i="5"/>
  <c r="AC579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AB206" i="5"/>
  <c r="AB207" i="5"/>
  <c r="AB208" i="5"/>
  <c r="AB209" i="5"/>
  <c r="AB210" i="5"/>
  <c r="AB211" i="5"/>
  <c r="AB212" i="5"/>
  <c r="AB213" i="5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AB254" i="5"/>
  <c r="AB255" i="5"/>
  <c r="AB256" i="5"/>
  <c r="AB257" i="5"/>
  <c r="AB258" i="5"/>
  <c r="AB259" i="5"/>
  <c r="AB260" i="5"/>
  <c r="AB261" i="5"/>
  <c r="AB262" i="5"/>
  <c r="AB263" i="5"/>
  <c r="AB264" i="5"/>
  <c r="AB265" i="5"/>
  <c r="AB266" i="5"/>
  <c r="AB267" i="5"/>
  <c r="AB268" i="5"/>
  <c r="AB269" i="5"/>
  <c r="AB270" i="5"/>
  <c r="AB271" i="5"/>
  <c r="AB272" i="5"/>
  <c r="AB273" i="5"/>
  <c r="AB274" i="5"/>
  <c r="AB275" i="5"/>
  <c r="AB276" i="5"/>
  <c r="AB277" i="5"/>
  <c r="AB278" i="5"/>
  <c r="AB279" i="5"/>
  <c r="AB280" i="5"/>
  <c r="AB281" i="5"/>
  <c r="AB282" i="5"/>
  <c r="AB283" i="5"/>
  <c r="AB284" i="5"/>
  <c r="AB285" i="5"/>
  <c r="AB286" i="5"/>
  <c r="AB287" i="5"/>
  <c r="AB288" i="5"/>
  <c r="AB289" i="5"/>
  <c r="AB290" i="5"/>
  <c r="AB291" i="5"/>
  <c r="AB292" i="5"/>
  <c r="AB293" i="5"/>
  <c r="AB294" i="5"/>
  <c r="AB295" i="5"/>
  <c r="AB296" i="5"/>
  <c r="AB297" i="5"/>
  <c r="AB298" i="5"/>
  <c r="AB299" i="5"/>
  <c r="AB300" i="5"/>
  <c r="AB301" i="5"/>
  <c r="AB302" i="5"/>
  <c r="AB303" i="5"/>
  <c r="AB304" i="5"/>
  <c r="AB305" i="5"/>
  <c r="AB306" i="5"/>
  <c r="AB307" i="5"/>
  <c r="AB308" i="5"/>
  <c r="AB309" i="5"/>
  <c r="AB310" i="5"/>
  <c r="AB311" i="5"/>
  <c r="AB312" i="5"/>
  <c r="AB313" i="5"/>
  <c r="AB314" i="5"/>
  <c r="AB315" i="5"/>
  <c r="AB316" i="5"/>
  <c r="AB317" i="5"/>
  <c r="AB318" i="5"/>
  <c r="AB319" i="5"/>
  <c r="AB320" i="5"/>
  <c r="AB321" i="5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AB408" i="5"/>
  <c r="AB409" i="5"/>
  <c r="AB410" i="5"/>
  <c r="AB411" i="5"/>
  <c r="AB412" i="5"/>
  <c r="AB413" i="5"/>
  <c r="AB414" i="5"/>
  <c r="AB415" i="5"/>
  <c r="AB416" i="5"/>
  <c r="AB417" i="5"/>
  <c r="AB418" i="5"/>
  <c r="AB419" i="5"/>
  <c r="AB420" i="5"/>
  <c r="AB421" i="5"/>
  <c r="AB422" i="5"/>
  <c r="AB423" i="5"/>
  <c r="AB424" i="5"/>
  <c r="AB425" i="5"/>
  <c r="AB426" i="5"/>
  <c r="AB427" i="5"/>
  <c r="AB428" i="5"/>
  <c r="AB429" i="5"/>
  <c r="AB430" i="5"/>
  <c r="AB431" i="5"/>
  <c r="AB432" i="5"/>
  <c r="AB433" i="5"/>
  <c r="AB434" i="5"/>
  <c r="AB435" i="5"/>
  <c r="AB436" i="5"/>
  <c r="AB437" i="5"/>
  <c r="AB438" i="5"/>
  <c r="AB439" i="5"/>
  <c r="AB440" i="5"/>
  <c r="AB441" i="5"/>
  <c r="AB442" i="5"/>
  <c r="AB443" i="5"/>
  <c r="AB444" i="5"/>
  <c r="AB445" i="5"/>
  <c r="AB446" i="5"/>
  <c r="AB447" i="5"/>
  <c r="AB448" i="5"/>
  <c r="AB449" i="5"/>
  <c r="AB450" i="5"/>
  <c r="AB451" i="5"/>
  <c r="AB452" i="5"/>
  <c r="AB453" i="5"/>
  <c r="AB454" i="5"/>
  <c r="AB455" i="5"/>
  <c r="AB456" i="5"/>
  <c r="AB457" i="5"/>
  <c r="AB458" i="5"/>
  <c r="AB459" i="5"/>
  <c r="AB460" i="5"/>
  <c r="AB461" i="5"/>
  <c r="AB462" i="5"/>
  <c r="AB463" i="5"/>
  <c r="AB464" i="5"/>
  <c r="AB465" i="5"/>
  <c r="AB466" i="5"/>
  <c r="AB467" i="5"/>
  <c r="AB468" i="5"/>
  <c r="AB469" i="5"/>
  <c r="AB470" i="5"/>
  <c r="AB471" i="5"/>
  <c r="AB472" i="5"/>
  <c r="AB473" i="5"/>
  <c r="AB474" i="5"/>
  <c r="AB475" i="5"/>
  <c r="AB476" i="5"/>
  <c r="AB477" i="5"/>
  <c r="AB478" i="5"/>
  <c r="AB479" i="5"/>
  <c r="AB480" i="5"/>
  <c r="AB481" i="5"/>
  <c r="AB482" i="5"/>
  <c r="AB483" i="5"/>
  <c r="AB484" i="5"/>
  <c r="AB485" i="5"/>
  <c r="AB486" i="5"/>
  <c r="AB487" i="5"/>
  <c r="AB488" i="5"/>
  <c r="AB489" i="5"/>
  <c r="AB490" i="5"/>
  <c r="AB491" i="5"/>
  <c r="AB492" i="5"/>
  <c r="AB493" i="5"/>
  <c r="AB494" i="5"/>
  <c r="AB495" i="5"/>
  <c r="AB496" i="5"/>
  <c r="AB497" i="5"/>
  <c r="AB498" i="5"/>
  <c r="AB499" i="5"/>
  <c r="AB500" i="5"/>
  <c r="AB501" i="5"/>
  <c r="AB502" i="5"/>
  <c r="AB503" i="5"/>
  <c r="AB504" i="5"/>
  <c r="AB505" i="5"/>
  <c r="AB506" i="5"/>
  <c r="AB507" i="5"/>
  <c r="AB508" i="5"/>
  <c r="AB509" i="5"/>
  <c r="AB510" i="5"/>
  <c r="AB511" i="5"/>
  <c r="AB512" i="5"/>
  <c r="AB513" i="5"/>
  <c r="AB514" i="5"/>
  <c r="AB515" i="5"/>
  <c r="AB516" i="5"/>
  <c r="AB517" i="5"/>
  <c r="AB518" i="5"/>
  <c r="AB519" i="5"/>
  <c r="AB520" i="5"/>
  <c r="AB521" i="5"/>
  <c r="AB522" i="5"/>
  <c r="AB523" i="5"/>
  <c r="AB524" i="5"/>
  <c r="AB525" i="5"/>
  <c r="AB526" i="5"/>
  <c r="AB527" i="5"/>
  <c r="AB528" i="5"/>
  <c r="AB529" i="5"/>
  <c r="AB530" i="5"/>
  <c r="AB531" i="5"/>
  <c r="AB532" i="5"/>
  <c r="AB533" i="5"/>
  <c r="AB534" i="5"/>
  <c r="AB535" i="5"/>
  <c r="AB536" i="5"/>
  <c r="AB537" i="5"/>
  <c r="AB538" i="5"/>
  <c r="AB539" i="5"/>
  <c r="AB540" i="5"/>
  <c r="AB541" i="5"/>
  <c r="AB542" i="5"/>
  <c r="AB543" i="5"/>
  <c r="AB544" i="5"/>
  <c r="AB545" i="5"/>
  <c r="AB546" i="5"/>
  <c r="AB547" i="5"/>
  <c r="AB548" i="5"/>
  <c r="AB549" i="5"/>
  <c r="AB550" i="5"/>
  <c r="AB551" i="5"/>
  <c r="AB552" i="5"/>
  <c r="AB553" i="5"/>
  <c r="AB554" i="5"/>
  <c r="AB555" i="5"/>
  <c r="AB556" i="5"/>
  <c r="AB557" i="5"/>
  <c r="AB558" i="5"/>
  <c r="AB559" i="5"/>
  <c r="AB560" i="5"/>
  <c r="AB561" i="5"/>
  <c r="AB562" i="5"/>
  <c r="AB563" i="5"/>
  <c r="AB564" i="5"/>
  <c r="AB565" i="5"/>
  <c r="AB566" i="5"/>
  <c r="AB567" i="5"/>
  <c r="AB568" i="5"/>
  <c r="AB569" i="5"/>
  <c r="AB570" i="5"/>
  <c r="AB571" i="5"/>
  <c r="AB572" i="5"/>
  <c r="AB573" i="5"/>
  <c r="AB574" i="5"/>
  <c r="AB575" i="5"/>
  <c r="AB576" i="5"/>
  <c r="AB577" i="5"/>
  <c r="AB578" i="5"/>
  <c r="AB579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159" i="5"/>
  <c r="AA160" i="5"/>
  <c r="AA161" i="5"/>
  <c r="AA162" i="5"/>
  <c r="AA163" i="5"/>
  <c r="AA164" i="5"/>
  <c r="AA165" i="5"/>
  <c r="AA166" i="5"/>
  <c r="AA167" i="5"/>
  <c r="AA168" i="5"/>
  <c r="AA169" i="5"/>
  <c r="AA170" i="5"/>
  <c r="AA171" i="5"/>
  <c r="AA172" i="5"/>
  <c r="AA173" i="5"/>
  <c r="AA174" i="5"/>
  <c r="AA175" i="5"/>
  <c r="AA176" i="5"/>
  <c r="AA177" i="5"/>
  <c r="AA178" i="5"/>
  <c r="AA179" i="5"/>
  <c r="AA180" i="5"/>
  <c r="AA181" i="5"/>
  <c r="AA182" i="5"/>
  <c r="AA183" i="5"/>
  <c r="AA184" i="5"/>
  <c r="AA185" i="5"/>
  <c r="AA186" i="5"/>
  <c r="AA187" i="5"/>
  <c r="AA188" i="5"/>
  <c r="AA189" i="5"/>
  <c r="AA190" i="5"/>
  <c r="AA191" i="5"/>
  <c r="AA192" i="5"/>
  <c r="AA193" i="5"/>
  <c r="AA194" i="5"/>
  <c r="AA195" i="5"/>
  <c r="AA196" i="5"/>
  <c r="AA197" i="5"/>
  <c r="AA198" i="5"/>
  <c r="AA199" i="5"/>
  <c r="AA200" i="5"/>
  <c r="AA201" i="5"/>
  <c r="AA202" i="5"/>
  <c r="AA203" i="5"/>
  <c r="AA204" i="5"/>
  <c r="AA205" i="5"/>
  <c r="AA206" i="5"/>
  <c r="AA207" i="5"/>
  <c r="AA208" i="5"/>
  <c r="AA209" i="5"/>
  <c r="AA210" i="5"/>
  <c r="AA211" i="5"/>
  <c r="AA212" i="5"/>
  <c r="AA213" i="5"/>
  <c r="AA214" i="5"/>
  <c r="AA215" i="5"/>
  <c r="AA216" i="5"/>
  <c r="AA217" i="5"/>
  <c r="AA218" i="5"/>
  <c r="AA219" i="5"/>
  <c r="AA220" i="5"/>
  <c r="AA221" i="5"/>
  <c r="AA222" i="5"/>
  <c r="AA223" i="5"/>
  <c r="AA224" i="5"/>
  <c r="AA225" i="5"/>
  <c r="AA226" i="5"/>
  <c r="AA227" i="5"/>
  <c r="AA228" i="5"/>
  <c r="AA229" i="5"/>
  <c r="AA230" i="5"/>
  <c r="AA231" i="5"/>
  <c r="AA232" i="5"/>
  <c r="AA233" i="5"/>
  <c r="AA234" i="5"/>
  <c r="AA235" i="5"/>
  <c r="AA236" i="5"/>
  <c r="AA237" i="5"/>
  <c r="AA238" i="5"/>
  <c r="AA239" i="5"/>
  <c r="AA240" i="5"/>
  <c r="AA241" i="5"/>
  <c r="AA242" i="5"/>
  <c r="AA243" i="5"/>
  <c r="AA244" i="5"/>
  <c r="AA245" i="5"/>
  <c r="AA246" i="5"/>
  <c r="AA247" i="5"/>
  <c r="AA248" i="5"/>
  <c r="AA249" i="5"/>
  <c r="AA250" i="5"/>
  <c r="AA251" i="5"/>
  <c r="AA252" i="5"/>
  <c r="AA253" i="5"/>
  <c r="AA254" i="5"/>
  <c r="AA255" i="5"/>
  <c r="AA256" i="5"/>
  <c r="AA257" i="5"/>
  <c r="AA258" i="5"/>
  <c r="AA259" i="5"/>
  <c r="AA260" i="5"/>
  <c r="AA261" i="5"/>
  <c r="AA262" i="5"/>
  <c r="AA263" i="5"/>
  <c r="AA264" i="5"/>
  <c r="AA265" i="5"/>
  <c r="AA266" i="5"/>
  <c r="AA267" i="5"/>
  <c r="AA268" i="5"/>
  <c r="AA269" i="5"/>
  <c r="AA270" i="5"/>
  <c r="AA271" i="5"/>
  <c r="AA272" i="5"/>
  <c r="AA273" i="5"/>
  <c r="AA274" i="5"/>
  <c r="AA275" i="5"/>
  <c r="AA276" i="5"/>
  <c r="AA277" i="5"/>
  <c r="AA278" i="5"/>
  <c r="AA279" i="5"/>
  <c r="AA280" i="5"/>
  <c r="AA281" i="5"/>
  <c r="AA282" i="5"/>
  <c r="AA283" i="5"/>
  <c r="AA284" i="5"/>
  <c r="AA285" i="5"/>
  <c r="AA286" i="5"/>
  <c r="AA287" i="5"/>
  <c r="AA288" i="5"/>
  <c r="AA289" i="5"/>
  <c r="AA290" i="5"/>
  <c r="AA291" i="5"/>
  <c r="AA292" i="5"/>
  <c r="AA293" i="5"/>
  <c r="AA294" i="5"/>
  <c r="AA295" i="5"/>
  <c r="AA296" i="5"/>
  <c r="AA297" i="5"/>
  <c r="AA298" i="5"/>
  <c r="AA299" i="5"/>
  <c r="AA300" i="5"/>
  <c r="AA301" i="5"/>
  <c r="AA302" i="5"/>
  <c r="AA303" i="5"/>
  <c r="AA304" i="5"/>
  <c r="AA305" i="5"/>
  <c r="AA306" i="5"/>
  <c r="AA307" i="5"/>
  <c r="AA308" i="5"/>
  <c r="AA309" i="5"/>
  <c r="AA310" i="5"/>
  <c r="AA311" i="5"/>
  <c r="AA312" i="5"/>
  <c r="AA313" i="5"/>
  <c r="AA314" i="5"/>
  <c r="AA315" i="5"/>
  <c r="AA316" i="5"/>
  <c r="AA317" i="5"/>
  <c r="AA318" i="5"/>
  <c r="AA319" i="5"/>
  <c r="AA320" i="5"/>
  <c r="AA321" i="5"/>
  <c r="AA322" i="5"/>
  <c r="AA323" i="5"/>
  <c r="AA324" i="5"/>
  <c r="AA325" i="5"/>
  <c r="AA326" i="5"/>
  <c r="AA327" i="5"/>
  <c r="AA328" i="5"/>
  <c r="AA329" i="5"/>
  <c r="AA330" i="5"/>
  <c r="AA331" i="5"/>
  <c r="AA332" i="5"/>
  <c r="AA333" i="5"/>
  <c r="AA334" i="5"/>
  <c r="AA335" i="5"/>
  <c r="AA336" i="5"/>
  <c r="AA337" i="5"/>
  <c r="AA338" i="5"/>
  <c r="AA339" i="5"/>
  <c r="AA340" i="5"/>
  <c r="AA341" i="5"/>
  <c r="AA342" i="5"/>
  <c r="AA343" i="5"/>
  <c r="AA344" i="5"/>
  <c r="AA345" i="5"/>
  <c r="AA346" i="5"/>
  <c r="AA347" i="5"/>
  <c r="AA348" i="5"/>
  <c r="AA349" i="5"/>
  <c r="AA350" i="5"/>
  <c r="AA351" i="5"/>
  <c r="AA352" i="5"/>
  <c r="AA353" i="5"/>
  <c r="AA354" i="5"/>
  <c r="AA355" i="5"/>
  <c r="AA356" i="5"/>
  <c r="AA357" i="5"/>
  <c r="AA358" i="5"/>
  <c r="AA359" i="5"/>
  <c r="AA360" i="5"/>
  <c r="AA361" i="5"/>
  <c r="AA362" i="5"/>
  <c r="AA363" i="5"/>
  <c r="AA364" i="5"/>
  <c r="AA365" i="5"/>
  <c r="AA366" i="5"/>
  <c r="AA367" i="5"/>
  <c r="AA368" i="5"/>
  <c r="AA369" i="5"/>
  <c r="AA370" i="5"/>
  <c r="AA371" i="5"/>
  <c r="AA372" i="5"/>
  <c r="AA373" i="5"/>
  <c r="AA374" i="5"/>
  <c r="AA375" i="5"/>
  <c r="AA376" i="5"/>
  <c r="AA377" i="5"/>
  <c r="AA378" i="5"/>
  <c r="AA379" i="5"/>
  <c r="AA380" i="5"/>
  <c r="AA381" i="5"/>
  <c r="AA382" i="5"/>
  <c r="AA383" i="5"/>
  <c r="AA384" i="5"/>
  <c r="AA385" i="5"/>
  <c r="AA386" i="5"/>
  <c r="AA387" i="5"/>
  <c r="AA388" i="5"/>
  <c r="AA389" i="5"/>
  <c r="AA390" i="5"/>
  <c r="AA391" i="5"/>
  <c r="AA392" i="5"/>
  <c r="AA393" i="5"/>
  <c r="AA394" i="5"/>
  <c r="AA395" i="5"/>
  <c r="AA396" i="5"/>
  <c r="AA397" i="5"/>
  <c r="AA398" i="5"/>
  <c r="AA399" i="5"/>
  <c r="AA400" i="5"/>
  <c r="AA401" i="5"/>
  <c r="AA402" i="5"/>
  <c r="AA403" i="5"/>
  <c r="AA404" i="5"/>
  <c r="AA405" i="5"/>
  <c r="AA406" i="5"/>
  <c r="AA407" i="5"/>
  <c r="AA408" i="5"/>
  <c r="AA409" i="5"/>
  <c r="AA410" i="5"/>
  <c r="AA411" i="5"/>
  <c r="AA412" i="5"/>
  <c r="AA413" i="5"/>
  <c r="AA414" i="5"/>
  <c r="AA415" i="5"/>
  <c r="AA416" i="5"/>
  <c r="AA417" i="5"/>
  <c r="AA418" i="5"/>
  <c r="AA419" i="5"/>
  <c r="AA420" i="5"/>
  <c r="AA421" i="5"/>
  <c r="AA422" i="5"/>
  <c r="AA423" i="5"/>
  <c r="AA424" i="5"/>
  <c r="AA425" i="5"/>
  <c r="AA426" i="5"/>
  <c r="AA427" i="5"/>
  <c r="AA428" i="5"/>
  <c r="AA429" i="5"/>
  <c r="AA430" i="5"/>
  <c r="AA431" i="5"/>
  <c r="AA432" i="5"/>
  <c r="AA433" i="5"/>
  <c r="AA434" i="5"/>
  <c r="AA435" i="5"/>
  <c r="AA436" i="5"/>
  <c r="AA437" i="5"/>
  <c r="AA438" i="5"/>
  <c r="AA439" i="5"/>
  <c r="AA440" i="5"/>
  <c r="AA441" i="5"/>
  <c r="AA442" i="5"/>
  <c r="AA443" i="5"/>
  <c r="AA444" i="5"/>
  <c r="AA445" i="5"/>
  <c r="AA446" i="5"/>
  <c r="AA447" i="5"/>
  <c r="AA448" i="5"/>
  <c r="AA449" i="5"/>
  <c r="AA450" i="5"/>
  <c r="AA451" i="5"/>
  <c r="AA452" i="5"/>
  <c r="AA453" i="5"/>
  <c r="AA454" i="5"/>
  <c r="AA455" i="5"/>
  <c r="AA456" i="5"/>
  <c r="AA457" i="5"/>
  <c r="AA458" i="5"/>
  <c r="AA459" i="5"/>
  <c r="AA460" i="5"/>
  <c r="AA461" i="5"/>
  <c r="AA462" i="5"/>
  <c r="AA463" i="5"/>
  <c r="AA464" i="5"/>
  <c r="AA465" i="5"/>
  <c r="AA466" i="5"/>
  <c r="AA467" i="5"/>
  <c r="AA468" i="5"/>
  <c r="AA469" i="5"/>
  <c r="AA470" i="5"/>
  <c r="AA471" i="5"/>
  <c r="AA472" i="5"/>
  <c r="AA473" i="5"/>
  <c r="AA474" i="5"/>
  <c r="AA475" i="5"/>
  <c r="AA476" i="5"/>
  <c r="AA477" i="5"/>
  <c r="AA478" i="5"/>
  <c r="AA479" i="5"/>
  <c r="AA480" i="5"/>
  <c r="AA481" i="5"/>
  <c r="AA482" i="5"/>
  <c r="AA483" i="5"/>
  <c r="AA484" i="5"/>
  <c r="AA485" i="5"/>
  <c r="AA486" i="5"/>
  <c r="AA487" i="5"/>
  <c r="AA488" i="5"/>
  <c r="AA489" i="5"/>
  <c r="AA490" i="5"/>
  <c r="AA491" i="5"/>
  <c r="AA492" i="5"/>
  <c r="AA493" i="5"/>
  <c r="AA494" i="5"/>
  <c r="AA495" i="5"/>
  <c r="AA496" i="5"/>
  <c r="AA497" i="5"/>
  <c r="AA498" i="5"/>
  <c r="AA499" i="5"/>
  <c r="AA500" i="5"/>
  <c r="AA501" i="5"/>
  <c r="AA502" i="5"/>
  <c r="AA503" i="5"/>
  <c r="AA504" i="5"/>
  <c r="AA505" i="5"/>
  <c r="AA506" i="5"/>
  <c r="AA507" i="5"/>
  <c r="AA508" i="5"/>
  <c r="AA509" i="5"/>
  <c r="AA510" i="5"/>
  <c r="AA511" i="5"/>
  <c r="AA512" i="5"/>
  <c r="AA513" i="5"/>
  <c r="AA514" i="5"/>
  <c r="AA515" i="5"/>
  <c r="AA516" i="5"/>
  <c r="AA517" i="5"/>
  <c r="AA518" i="5"/>
  <c r="AA519" i="5"/>
  <c r="AA520" i="5"/>
  <c r="AA521" i="5"/>
  <c r="AA522" i="5"/>
  <c r="AA523" i="5"/>
  <c r="AA524" i="5"/>
  <c r="AA525" i="5"/>
  <c r="AA526" i="5"/>
  <c r="AA527" i="5"/>
  <c r="AA528" i="5"/>
  <c r="AA529" i="5"/>
  <c r="AA530" i="5"/>
  <c r="AA531" i="5"/>
  <c r="AA532" i="5"/>
  <c r="AA533" i="5"/>
  <c r="AA534" i="5"/>
  <c r="AA535" i="5"/>
  <c r="AA536" i="5"/>
  <c r="AA537" i="5"/>
  <c r="AA538" i="5"/>
  <c r="AA539" i="5"/>
  <c r="AA540" i="5"/>
  <c r="AA541" i="5"/>
  <c r="AA542" i="5"/>
  <c r="AA543" i="5"/>
  <c r="AA544" i="5"/>
  <c r="AA545" i="5"/>
  <c r="AA546" i="5"/>
  <c r="AA547" i="5"/>
  <c r="AA548" i="5"/>
  <c r="AA549" i="5"/>
  <c r="AA550" i="5"/>
  <c r="AA551" i="5"/>
  <c r="AA552" i="5"/>
  <c r="AA553" i="5"/>
  <c r="AA554" i="5"/>
  <c r="AA555" i="5"/>
  <c r="AA556" i="5"/>
  <c r="AA557" i="5"/>
  <c r="AA558" i="5"/>
  <c r="AA559" i="5"/>
  <c r="AA560" i="5"/>
  <c r="AA561" i="5"/>
  <c r="AA562" i="5"/>
  <c r="AA563" i="5"/>
  <c r="AA564" i="5"/>
  <c r="AA565" i="5"/>
  <c r="AA566" i="5"/>
  <c r="AA567" i="5"/>
  <c r="AA568" i="5"/>
  <c r="AA569" i="5"/>
  <c r="AA570" i="5"/>
  <c r="AA571" i="5"/>
  <c r="AA572" i="5"/>
  <c r="AA573" i="5"/>
  <c r="AA574" i="5"/>
  <c r="AA575" i="5"/>
  <c r="AA576" i="5"/>
  <c r="AA577" i="5"/>
  <c r="AA578" i="5"/>
  <c r="AA579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Z99" i="5"/>
  <c r="Z100" i="5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Z116" i="5"/>
  <c r="Z117" i="5"/>
  <c r="Z118" i="5"/>
  <c r="Z119" i="5"/>
  <c r="Z120" i="5"/>
  <c r="Z121" i="5"/>
  <c r="Z122" i="5"/>
  <c r="Z123" i="5"/>
  <c r="Z124" i="5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Z140" i="5"/>
  <c r="Z141" i="5"/>
  <c r="Z142" i="5"/>
  <c r="Z143" i="5"/>
  <c r="Z144" i="5"/>
  <c r="Z145" i="5"/>
  <c r="Z146" i="5"/>
  <c r="Z147" i="5"/>
  <c r="Z148" i="5"/>
  <c r="Z149" i="5"/>
  <c r="Z150" i="5"/>
  <c r="Z151" i="5"/>
  <c r="Z152" i="5"/>
  <c r="Z153" i="5"/>
  <c r="Z154" i="5"/>
  <c r="Z155" i="5"/>
  <c r="Z156" i="5"/>
  <c r="Z157" i="5"/>
  <c r="Z158" i="5"/>
  <c r="Z159" i="5"/>
  <c r="Z160" i="5"/>
  <c r="Z161" i="5"/>
  <c r="Z162" i="5"/>
  <c r="Z163" i="5"/>
  <c r="Z164" i="5"/>
  <c r="Z165" i="5"/>
  <c r="Z166" i="5"/>
  <c r="Z167" i="5"/>
  <c r="Z168" i="5"/>
  <c r="Z169" i="5"/>
  <c r="Z170" i="5"/>
  <c r="Z171" i="5"/>
  <c r="Z172" i="5"/>
  <c r="Z173" i="5"/>
  <c r="Z174" i="5"/>
  <c r="Z175" i="5"/>
  <c r="Z176" i="5"/>
  <c r="Z177" i="5"/>
  <c r="Z178" i="5"/>
  <c r="Z179" i="5"/>
  <c r="Z180" i="5"/>
  <c r="Z181" i="5"/>
  <c r="Z182" i="5"/>
  <c r="Z183" i="5"/>
  <c r="Z184" i="5"/>
  <c r="Z185" i="5"/>
  <c r="Z186" i="5"/>
  <c r="Z187" i="5"/>
  <c r="Z188" i="5"/>
  <c r="Z189" i="5"/>
  <c r="Z190" i="5"/>
  <c r="Z191" i="5"/>
  <c r="Z192" i="5"/>
  <c r="Z193" i="5"/>
  <c r="Z194" i="5"/>
  <c r="Z195" i="5"/>
  <c r="Z196" i="5"/>
  <c r="Z197" i="5"/>
  <c r="Z198" i="5"/>
  <c r="Z199" i="5"/>
  <c r="Z200" i="5"/>
  <c r="Z201" i="5"/>
  <c r="Z202" i="5"/>
  <c r="Z203" i="5"/>
  <c r="Z204" i="5"/>
  <c r="Z205" i="5"/>
  <c r="Z206" i="5"/>
  <c r="Z207" i="5"/>
  <c r="Z208" i="5"/>
  <c r="Z209" i="5"/>
  <c r="Z210" i="5"/>
  <c r="Z211" i="5"/>
  <c r="Z212" i="5"/>
  <c r="Z213" i="5"/>
  <c r="Z214" i="5"/>
  <c r="Z215" i="5"/>
  <c r="Z216" i="5"/>
  <c r="Z217" i="5"/>
  <c r="Z218" i="5"/>
  <c r="Z219" i="5"/>
  <c r="Z220" i="5"/>
  <c r="Z221" i="5"/>
  <c r="Z222" i="5"/>
  <c r="Z223" i="5"/>
  <c r="Z224" i="5"/>
  <c r="Z225" i="5"/>
  <c r="Z226" i="5"/>
  <c r="Z227" i="5"/>
  <c r="Z228" i="5"/>
  <c r="Z229" i="5"/>
  <c r="Z230" i="5"/>
  <c r="Z231" i="5"/>
  <c r="Z232" i="5"/>
  <c r="Z233" i="5"/>
  <c r="Z234" i="5"/>
  <c r="Z235" i="5"/>
  <c r="Z236" i="5"/>
  <c r="Z237" i="5"/>
  <c r="Z238" i="5"/>
  <c r="Z239" i="5"/>
  <c r="Z240" i="5"/>
  <c r="Z241" i="5"/>
  <c r="Z242" i="5"/>
  <c r="Z243" i="5"/>
  <c r="Z244" i="5"/>
  <c r="Z245" i="5"/>
  <c r="Z246" i="5"/>
  <c r="Z247" i="5"/>
  <c r="Z248" i="5"/>
  <c r="Z249" i="5"/>
  <c r="Z250" i="5"/>
  <c r="Z251" i="5"/>
  <c r="Z252" i="5"/>
  <c r="Z253" i="5"/>
  <c r="Z254" i="5"/>
  <c r="Z255" i="5"/>
  <c r="Z256" i="5"/>
  <c r="Z257" i="5"/>
  <c r="Z258" i="5"/>
  <c r="Z259" i="5"/>
  <c r="Z260" i="5"/>
  <c r="Z261" i="5"/>
  <c r="Z262" i="5"/>
  <c r="Z263" i="5"/>
  <c r="Z264" i="5"/>
  <c r="Z265" i="5"/>
  <c r="Z266" i="5"/>
  <c r="Z267" i="5"/>
  <c r="Z268" i="5"/>
  <c r="Z269" i="5"/>
  <c r="Z270" i="5"/>
  <c r="Z271" i="5"/>
  <c r="Z272" i="5"/>
  <c r="Z273" i="5"/>
  <c r="Z274" i="5"/>
  <c r="Z275" i="5"/>
  <c r="Z276" i="5"/>
  <c r="Z277" i="5"/>
  <c r="Z278" i="5"/>
  <c r="Z279" i="5"/>
  <c r="Z280" i="5"/>
  <c r="Z281" i="5"/>
  <c r="Z282" i="5"/>
  <c r="Z283" i="5"/>
  <c r="Z284" i="5"/>
  <c r="Z285" i="5"/>
  <c r="Z286" i="5"/>
  <c r="Z287" i="5"/>
  <c r="Z288" i="5"/>
  <c r="Z289" i="5"/>
  <c r="Z290" i="5"/>
  <c r="Z291" i="5"/>
  <c r="Z292" i="5"/>
  <c r="Z293" i="5"/>
  <c r="Z294" i="5"/>
  <c r="Z295" i="5"/>
  <c r="Z296" i="5"/>
  <c r="Z297" i="5"/>
  <c r="Z298" i="5"/>
  <c r="Z299" i="5"/>
  <c r="Z300" i="5"/>
  <c r="Z301" i="5"/>
  <c r="Z302" i="5"/>
  <c r="Z303" i="5"/>
  <c r="Z304" i="5"/>
  <c r="Z305" i="5"/>
  <c r="Z306" i="5"/>
  <c r="Z307" i="5"/>
  <c r="Z308" i="5"/>
  <c r="Z309" i="5"/>
  <c r="Z310" i="5"/>
  <c r="Z311" i="5"/>
  <c r="Z312" i="5"/>
  <c r="Z313" i="5"/>
  <c r="Z314" i="5"/>
  <c r="Z315" i="5"/>
  <c r="Z316" i="5"/>
  <c r="Z317" i="5"/>
  <c r="Z318" i="5"/>
  <c r="Z319" i="5"/>
  <c r="Z320" i="5"/>
  <c r="Z321" i="5"/>
  <c r="Z322" i="5"/>
  <c r="Z323" i="5"/>
  <c r="Z324" i="5"/>
  <c r="Z325" i="5"/>
  <c r="Z326" i="5"/>
  <c r="Z327" i="5"/>
  <c r="Z328" i="5"/>
  <c r="Z329" i="5"/>
  <c r="Z330" i="5"/>
  <c r="Z331" i="5"/>
  <c r="Z332" i="5"/>
  <c r="Z333" i="5"/>
  <c r="Z334" i="5"/>
  <c r="Z335" i="5"/>
  <c r="Z336" i="5"/>
  <c r="Z337" i="5"/>
  <c r="Z338" i="5"/>
  <c r="Z339" i="5"/>
  <c r="Z340" i="5"/>
  <c r="Z341" i="5"/>
  <c r="Z342" i="5"/>
  <c r="Z343" i="5"/>
  <c r="Z344" i="5"/>
  <c r="Z345" i="5"/>
  <c r="Z346" i="5"/>
  <c r="Z347" i="5"/>
  <c r="Z348" i="5"/>
  <c r="Z349" i="5"/>
  <c r="Z350" i="5"/>
  <c r="Z351" i="5"/>
  <c r="Z352" i="5"/>
  <c r="Z353" i="5"/>
  <c r="Z354" i="5"/>
  <c r="Z355" i="5"/>
  <c r="Z356" i="5"/>
  <c r="Z357" i="5"/>
  <c r="Z358" i="5"/>
  <c r="Z359" i="5"/>
  <c r="Z360" i="5"/>
  <c r="Z361" i="5"/>
  <c r="Z362" i="5"/>
  <c r="Z363" i="5"/>
  <c r="Z364" i="5"/>
  <c r="Z365" i="5"/>
  <c r="Z366" i="5"/>
  <c r="Z367" i="5"/>
  <c r="Z368" i="5"/>
  <c r="Z369" i="5"/>
  <c r="Z370" i="5"/>
  <c r="Z371" i="5"/>
  <c r="Z372" i="5"/>
  <c r="Z373" i="5"/>
  <c r="Z374" i="5"/>
  <c r="Z375" i="5"/>
  <c r="Z376" i="5"/>
  <c r="Z377" i="5"/>
  <c r="Z378" i="5"/>
  <c r="Z379" i="5"/>
  <c r="Z380" i="5"/>
  <c r="Z381" i="5"/>
  <c r="Z382" i="5"/>
  <c r="Z383" i="5"/>
  <c r="Z384" i="5"/>
  <c r="Z385" i="5"/>
  <c r="Z386" i="5"/>
  <c r="Z387" i="5"/>
  <c r="Z388" i="5"/>
  <c r="Z389" i="5"/>
  <c r="Z390" i="5"/>
  <c r="Z391" i="5"/>
  <c r="Z392" i="5"/>
  <c r="Z393" i="5"/>
  <c r="Z394" i="5"/>
  <c r="Z395" i="5"/>
  <c r="Z396" i="5"/>
  <c r="Z397" i="5"/>
  <c r="Z398" i="5"/>
  <c r="Z399" i="5"/>
  <c r="Z400" i="5"/>
  <c r="Z401" i="5"/>
  <c r="Z402" i="5"/>
  <c r="Z403" i="5"/>
  <c r="Z404" i="5"/>
  <c r="Z405" i="5"/>
  <c r="Z406" i="5"/>
  <c r="Z407" i="5"/>
  <c r="Z408" i="5"/>
  <c r="Z409" i="5"/>
  <c r="Z410" i="5"/>
  <c r="Z411" i="5"/>
  <c r="Z412" i="5"/>
  <c r="Z413" i="5"/>
  <c r="Z414" i="5"/>
  <c r="Z415" i="5"/>
  <c r="Z416" i="5"/>
  <c r="Z417" i="5"/>
  <c r="Z418" i="5"/>
  <c r="Z419" i="5"/>
  <c r="Z420" i="5"/>
  <c r="Z421" i="5"/>
  <c r="Z422" i="5"/>
  <c r="Z423" i="5"/>
  <c r="Z424" i="5"/>
  <c r="Z425" i="5"/>
  <c r="Z426" i="5"/>
  <c r="Z427" i="5"/>
  <c r="Z428" i="5"/>
  <c r="Z429" i="5"/>
  <c r="Z430" i="5"/>
  <c r="Z431" i="5"/>
  <c r="Z432" i="5"/>
  <c r="Z433" i="5"/>
  <c r="Z434" i="5"/>
  <c r="Z435" i="5"/>
  <c r="Z436" i="5"/>
  <c r="Z437" i="5"/>
  <c r="Z438" i="5"/>
  <c r="Z439" i="5"/>
  <c r="Z440" i="5"/>
  <c r="Z441" i="5"/>
  <c r="Z442" i="5"/>
  <c r="Z443" i="5"/>
  <c r="Z444" i="5"/>
  <c r="Z445" i="5"/>
  <c r="Z446" i="5"/>
  <c r="Z447" i="5"/>
  <c r="Z448" i="5"/>
  <c r="Z449" i="5"/>
  <c r="Z450" i="5"/>
  <c r="Z451" i="5"/>
  <c r="Z452" i="5"/>
  <c r="Z453" i="5"/>
  <c r="Z454" i="5"/>
  <c r="Z455" i="5"/>
  <c r="Z456" i="5"/>
  <c r="Z457" i="5"/>
  <c r="Z458" i="5"/>
  <c r="Z459" i="5"/>
  <c r="Z460" i="5"/>
  <c r="Z461" i="5"/>
  <c r="Z462" i="5"/>
  <c r="Z463" i="5"/>
  <c r="Z464" i="5"/>
  <c r="Z465" i="5"/>
  <c r="Z466" i="5"/>
  <c r="Z467" i="5"/>
  <c r="Z468" i="5"/>
  <c r="Z469" i="5"/>
  <c r="Z470" i="5"/>
  <c r="Z471" i="5"/>
  <c r="Z472" i="5"/>
  <c r="Z473" i="5"/>
  <c r="Z474" i="5"/>
  <c r="Z475" i="5"/>
  <c r="Z476" i="5"/>
  <c r="Z477" i="5"/>
  <c r="Z478" i="5"/>
  <c r="Z479" i="5"/>
  <c r="Z480" i="5"/>
  <c r="Z481" i="5"/>
  <c r="Z482" i="5"/>
  <c r="Z483" i="5"/>
  <c r="Z484" i="5"/>
  <c r="Z485" i="5"/>
  <c r="Z486" i="5"/>
  <c r="Z487" i="5"/>
  <c r="Z488" i="5"/>
  <c r="Z489" i="5"/>
  <c r="Z490" i="5"/>
  <c r="Z491" i="5"/>
  <c r="Z492" i="5"/>
  <c r="Z493" i="5"/>
  <c r="Z494" i="5"/>
  <c r="Z495" i="5"/>
  <c r="Z496" i="5"/>
  <c r="Z497" i="5"/>
  <c r="Z498" i="5"/>
  <c r="Z499" i="5"/>
  <c r="Z500" i="5"/>
  <c r="Z501" i="5"/>
  <c r="Z502" i="5"/>
  <c r="Z503" i="5"/>
  <c r="Z504" i="5"/>
  <c r="Z505" i="5"/>
  <c r="Z506" i="5"/>
  <c r="Z507" i="5"/>
  <c r="Z508" i="5"/>
  <c r="Z509" i="5"/>
  <c r="Z510" i="5"/>
  <c r="Z511" i="5"/>
  <c r="Z512" i="5"/>
  <c r="Z513" i="5"/>
  <c r="Z514" i="5"/>
  <c r="Z515" i="5"/>
  <c r="Z516" i="5"/>
  <c r="Z517" i="5"/>
  <c r="Z518" i="5"/>
  <c r="Z519" i="5"/>
  <c r="Z520" i="5"/>
  <c r="Z521" i="5"/>
  <c r="Z522" i="5"/>
  <c r="Z523" i="5"/>
  <c r="Z524" i="5"/>
  <c r="Z525" i="5"/>
  <c r="Z526" i="5"/>
  <c r="Z527" i="5"/>
  <c r="Z528" i="5"/>
  <c r="Z529" i="5"/>
  <c r="Z530" i="5"/>
  <c r="Z531" i="5"/>
  <c r="Z532" i="5"/>
  <c r="Z533" i="5"/>
  <c r="Z534" i="5"/>
  <c r="Z535" i="5"/>
  <c r="Z536" i="5"/>
  <c r="Z537" i="5"/>
  <c r="Z538" i="5"/>
  <c r="Z539" i="5"/>
  <c r="Z540" i="5"/>
  <c r="Z541" i="5"/>
  <c r="Z542" i="5"/>
  <c r="Z543" i="5"/>
  <c r="Z544" i="5"/>
  <c r="Z545" i="5"/>
  <c r="Z546" i="5"/>
  <c r="Z547" i="5"/>
  <c r="Z548" i="5"/>
  <c r="Z549" i="5"/>
  <c r="Z550" i="5"/>
  <c r="Z551" i="5"/>
  <c r="Z552" i="5"/>
  <c r="Z553" i="5"/>
  <c r="Z554" i="5"/>
  <c r="Z555" i="5"/>
  <c r="Z556" i="5"/>
  <c r="Z557" i="5"/>
  <c r="Z558" i="5"/>
  <c r="Z559" i="5"/>
  <c r="Z560" i="5"/>
  <c r="Z561" i="5"/>
  <c r="Z562" i="5"/>
  <c r="Z563" i="5"/>
  <c r="Z564" i="5"/>
  <c r="Z565" i="5"/>
  <c r="Z566" i="5"/>
  <c r="Z567" i="5"/>
  <c r="Z568" i="5"/>
  <c r="Z569" i="5"/>
  <c r="Z570" i="5"/>
  <c r="Z571" i="5"/>
  <c r="Z572" i="5"/>
  <c r="Z573" i="5"/>
  <c r="Z574" i="5"/>
  <c r="Z575" i="5"/>
  <c r="Z576" i="5"/>
  <c r="Z577" i="5"/>
  <c r="Z578" i="5"/>
  <c r="Z579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Y152" i="5"/>
  <c r="Y153" i="5"/>
  <c r="Y154" i="5"/>
  <c r="Y155" i="5"/>
  <c r="Y156" i="5"/>
  <c r="Y157" i="5"/>
  <c r="Y158" i="5"/>
  <c r="Y159" i="5"/>
  <c r="Y160" i="5"/>
  <c r="Y161" i="5"/>
  <c r="Y162" i="5"/>
  <c r="Y163" i="5"/>
  <c r="Y164" i="5"/>
  <c r="Y165" i="5"/>
  <c r="Y166" i="5"/>
  <c r="Y167" i="5"/>
  <c r="Y168" i="5"/>
  <c r="Y169" i="5"/>
  <c r="Y170" i="5"/>
  <c r="Y171" i="5"/>
  <c r="Y172" i="5"/>
  <c r="Y173" i="5"/>
  <c r="Y174" i="5"/>
  <c r="Y175" i="5"/>
  <c r="Y176" i="5"/>
  <c r="Y177" i="5"/>
  <c r="Y178" i="5"/>
  <c r="Y179" i="5"/>
  <c r="Y180" i="5"/>
  <c r="Y181" i="5"/>
  <c r="Y182" i="5"/>
  <c r="Y183" i="5"/>
  <c r="Y184" i="5"/>
  <c r="Y185" i="5"/>
  <c r="Y186" i="5"/>
  <c r="Y187" i="5"/>
  <c r="Y188" i="5"/>
  <c r="Y189" i="5"/>
  <c r="Y190" i="5"/>
  <c r="Y191" i="5"/>
  <c r="Y192" i="5"/>
  <c r="Y193" i="5"/>
  <c r="Y194" i="5"/>
  <c r="Y195" i="5"/>
  <c r="Y196" i="5"/>
  <c r="Y197" i="5"/>
  <c r="Y198" i="5"/>
  <c r="Y199" i="5"/>
  <c r="Y200" i="5"/>
  <c r="Y201" i="5"/>
  <c r="Y202" i="5"/>
  <c r="Y203" i="5"/>
  <c r="Y204" i="5"/>
  <c r="Y205" i="5"/>
  <c r="Y206" i="5"/>
  <c r="Y207" i="5"/>
  <c r="Y208" i="5"/>
  <c r="Y209" i="5"/>
  <c r="Y210" i="5"/>
  <c r="Y211" i="5"/>
  <c r="Y212" i="5"/>
  <c r="Y213" i="5"/>
  <c r="Y214" i="5"/>
  <c r="Y215" i="5"/>
  <c r="Y216" i="5"/>
  <c r="Y217" i="5"/>
  <c r="Y218" i="5"/>
  <c r="Y219" i="5"/>
  <c r="Y220" i="5"/>
  <c r="Y221" i="5"/>
  <c r="Y222" i="5"/>
  <c r="Y223" i="5"/>
  <c r="Y224" i="5"/>
  <c r="Y225" i="5"/>
  <c r="Y226" i="5"/>
  <c r="Y227" i="5"/>
  <c r="Y228" i="5"/>
  <c r="Y229" i="5"/>
  <c r="Y230" i="5"/>
  <c r="Y231" i="5"/>
  <c r="Y232" i="5"/>
  <c r="Y233" i="5"/>
  <c r="Y234" i="5"/>
  <c r="Y235" i="5"/>
  <c r="Y236" i="5"/>
  <c r="Y237" i="5"/>
  <c r="Y238" i="5"/>
  <c r="Y239" i="5"/>
  <c r="Y240" i="5"/>
  <c r="Y241" i="5"/>
  <c r="Y242" i="5"/>
  <c r="Y243" i="5"/>
  <c r="Y244" i="5"/>
  <c r="Y245" i="5"/>
  <c r="Y246" i="5"/>
  <c r="Y247" i="5"/>
  <c r="Y248" i="5"/>
  <c r="Y249" i="5"/>
  <c r="Y250" i="5"/>
  <c r="Y251" i="5"/>
  <c r="Y252" i="5"/>
  <c r="Y253" i="5"/>
  <c r="Y254" i="5"/>
  <c r="Y255" i="5"/>
  <c r="Y256" i="5"/>
  <c r="Y257" i="5"/>
  <c r="Y258" i="5"/>
  <c r="Y259" i="5"/>
  <c r="Y260" i="5"/>
  <c r="Y261" i="5"/>
  <c r="Y262" i="5"/>
  <c r="Y263" i="5"/>
  <c r="Y264" i="5"/>
  <c r="Y265" i="5"/>
  <c r="Y266" i="5"/>
  <c r="Y267" i="5"/>
  <c r="Y268" i="5"/>
  <c r="Y269" i="5"/>
  <c r="Y270" i="5"/>
  <c r="Y271" i="5"/>
  <c r="Y272" i="5"/>
  <c r="Y273" i="5"/>
  <c r="Y274" i="5"/>
  <c r="Y275" i="5"/>
  <c r="Y276" i="5"/>
  <c r="Y277" i="5"/>
  <c r="Y278" i="5"/>
  <c r="Y279" i="5"/>
  <c r="Y280" i="5"/>
  <c r="Y281" i="5"/>
  <c r="Y282" i="5"/>
  <c r="Y283" i="5"/>
  <c r="Y284" i="5"/>
  <c r="Y285" i="5"/>
  <c r="Y286" i="5"/>
  <c r="Y287" i="5"/>
  <c r="Y288" i="5"/>
  <c r="Y289" i="5"/>
  <c r="Y290" i="5"/>
  <c r="Y291" i="5"/>
  <c r="Y292" i="5"/>
  <c r="Y293" i="5"/>
  <c r="Y294" i="5"/>
  <c r="Y295" i="5"/>
  <c r="Y296" i="5"/>
  <c r="Y297" i="5"/>
  <c r="Y298" i="5"/>
  <c r="Y299" i="5"/>
  <c r="Y300" i="5"/>
  <c r="Y301" i="5"/>
  <c r="Y302" i="5"/>
  <c r="Y303" i="5"/>
  <c r="Y304" i="5"/>
  <c r="Y305" i="5"/>
  <c r="Y306" i="5"/>
  <c r="Y307" i="5"/>
  <c r="Y308" i="5"/>
  <c r="Y309" i="5"/>
  <c r="Y310" i="5"/>
  <c r="Y311" i="5"/>
  <c r="Y312" i="5"/>
  <c r="Y313" i="5"/>
  <c r="Y314" i="5"/>
  <c r="Y315" i="5"/>
  <c r="Y316" i="5"/>
  <c r="Y317" i="5"/>
  <c r="Y318" i="5"/>
  <c r="Y319" i="5"/>
  <c r="Y320" i="5"/>
  <c r="Y321" i="5"/>
  <c r="Y322" i="5"/>
  <c r="Y323" i="5"/>
  <c r="Y324" i="5"/>
  <c r="Y325" i="5"/>
  <c r="Y326" i="5"/>
  <c r="Y327" i="5"/>
  <c r="Y328" i="5"/>
  <c r="Y329" i="5"/>
  <c r="Y330" i="5"/>
  <c r="Y331" i="5"/>
  <c r="Y332" i="5"/>
  <c r="Y333" i="5"/>
  <c r="Y334" i="5"/>
  <c r="Y335" i="5"/>
  <c r="Y336" i="5"/>
  <c r="Y337" i="5"/>
  <c r="Y338" i="5"/>
  <c r="Y339" i="5"/>
  <c r="Y340" i="5"/>
  <c r="Y341" i="5"/>
  <c r="Y342" i="5"/>
  <c r="Y343" i="5"/>
  <c r="Y344" i="5"/>
  <c r="Y345" i="5"/>
  <c r="Y346" i="5"/>
  <c r="Y347" i="5"/>
  <c r="Y348" i="5"/>
  <c r="Y349" i="5"/>
  <c r="Y350" i="5"/>
  <c r="Y351" i="5"/>
  <c r="Y352" i="5"/>
  <c r="Y353" i="5"/>
  <c r="Y354" i="5"/>
  <c r="Y355" i="5"/>
  <c r="Y356" i="5"/>
  <c r="Y357" i="5"/>
  <c r="Y358" i="5"/>
  <c r="Y359" i="5"/>
  <c r="Y360" i="5"/>
  <c r="Y361" i="5"/>
  <c r="Y362" i="5"/>
  <c r="Y363" i="5"/>
  <c r="Y364" i="5"/>
  <c r="Y365" i="5"/>
  <c r="Y366" i="5"/>
  <c r="Y367" i="5"/>
  <c r="Y368" i="5"/>
  <c r="Y369" i="5"/>
  <c r="Y370" i="5"/>
  <c r="Y371" i="5"/>
  <c r="Y372" i="5"/>
  <c r="Y373" i="5"/>
  <c r="Y374" i="5"/>
  <c r="Y375" i="5"/>
  <c r="Y376" i="5"/>
  <c r="Y377" i="5"/>
  <c r="Y378" i="5"/>
  <c r="Y379" i="5"/>
  <c r="Y380" i="5"/>
  <c r="Y381" i="5"/>
  <c r="Y382" i="5"/>
  <c r="Y383" i="5"/>
  <c r="Y384" i="5"/>
  <c r="Y385" i="5"/>
  <c r="Y386" i="5"/>
  <c r="Y387" i="5"/>
  <c r="Y388" i="5"/>
  <c r="Y389" i="5"/>
  <c r="Y390" i="5"/>
  <c r="Y391" i="5"/>
  <c r="Y392" i="5"/>
  <c r="Y393" i="5"/>
  <c r="Y394" i="5"/>
  <c r="Y395" i="5"/>
  <c r="Y396" i="5"/>
  <c r="Y397" i="5"/>
  <c r="Y398" i="5"/>
  <c r="Y399" i="5"/>
  <c r="Y400" i="5"/>
  <c r="Y401" i="5"/>
  <c r="Y402" i="5"/>
  <c r="Y403" i="5"/>
  <c r="Y404" i="5"/>
  <c r="Y405" i="5"/>
  <c r="Y406" i="5"/>
  <c r="Y407" i="5"/>
  <c r="Y408" i="5"/>
  <c r="Y409" i="5"/>
  <c r="Y410" i="5"/>
  <c r="Y411" i="5"/>
  <c r="Y412" i="5"/>
  <c r="Y413" i="5"/>
  <c r="Y414" i="5"/>
  <c r="Y415" i="5"/>
  <c r="Y416" i="5"/>
  <c r="Y417" i="5"/>
  <c r="Y418" i="5"/>
  <c r="Y419" i="5"/>
  <c r="Y420" i="5"/>
  <c r="Y421" i="5"/>
  <c r="Y422" i="5"/>
  <c r="Y423" i="5"/>
  <c r="Y424" i="5"/>
  <c r="Y425" i="5"/>
  <c r="Y426" i="5"/>
  <c r="Y427" i="5"/>
  <c r="Y428" i="5"/>
  <c r="Y429" i="5"/>
  <c r="Y430" i="5"/>
  <c r="Y431" i="5"/>
  <c r="Y432" i="5"/>
  <c r="Y433" i="5"/>
  <c r="Y434" i="5"/>
  <c r="Y435" i="5"/>
  <c r="Y436" i="5"/>
  <c r="Y437" i="5"/>
  <c r="Y438" i="5"/>
  <c r="Y439" i="5"/>
  <c r="Y440" i="5"/>
  <c r="Y441" i="5"/>
  <c r="Y442" i="5"/>
  <c r="Y443" i="5"/>
  <c r="Y444" i="5"/>
  <c r="Y445" i="5"/>
  <c r="Y446" i="5"/>
  <c r="Y447" i="5"/>
  <c r="Y448" i="5"/>
  <c r="Y449" i="5"/>
  <c r="Y450" i="5"/>
  <c r="Y451" i="5"/>
  <c r="Y452" i="5"/>
  <c r="Y453" i="5"/>
  <c r="Y454" i="5"/>
  <c r="Y455" i="5"/>
  <c r="Y456" i="5"/>
  <c r="Y457" i="5"/>
  <c r="Y458" i="5"/>
  <c r="Y459" i="5"/>
  <c r="Y460" i="5"/>
  <c r="Y461" i="5"/>
  <c r="Y462" i="5"/>
  <c r="Y463" i="5"/>
  <c r="Y464" i="5"/>
  <c r="Y465" i="5"/>
  <c r="Y466" i="5"/>
  <c r="Y467" i="5"/>
  <c r="Y468" i="5"/>
  <c r="Y469" i="5"/>
  <c r="Y470" i="5"/>
  <c r="Y471" i="5"/>
  <c r="Y472" i="5"/>
  <c r="Y473" i="5"/>
  <c r="Y474" i="5"/>
  <c r="Y475" i="5"/>
  <c r="Y476" i="5"/>
  <c r="Y477" i="5"/>
  <c r="Y478" i="5"/>
  <c r="Y479" i="5"/>
  <c r="Y480" i="5"/>
  <c r="Y481" i="5"/>
  <c r="Y482" i="5"/>
  <c r="Y483" i="5"/>
  <c r="Y484" i="5"/>
  <c r="Y485" i="5"/>
  <c r="Y486" i="5"/>
  <c r="Y487" i="5"/>
  <c r="Y488" i="5"/>
  <c r="Y489" i="5"/>
  <c r="Y490" i="5"/>
  <c r="Y491" i="5"/>
  <c r="Y492" i="5"/>
  <c r="Y493" i="5"/>
  <c r="Y494" i="5"/>
  <c r="Y495" i="5"/>
  <c r="Y496" i="5"/>
  <c r="Y497" i="5"/>
  <c r="Y498" i="5"/>
  <c r="Y499" i="5"/>
  <c r="Y500" i="5"/>
  <c r="Y501" i="5"/>
  <c r="Y502" i="5"/>
  <c r="Y503" i="5"/>
  <c r="Y504" i="5"/>
  <c r="Y505" i="5"/>
  <c r="Y506" i="5"/>
  <c r="Y507" i="5"/>
  <c r="Y508" i="5"/>
  <c r="Y509" i="5"/>
  <c r="Y510" i="5"/>
  <c r="Y511" i="5"/>
  <c r="Y512" i="5"/>
  <c r="Y513" i="5"/>
  <c r="Y514" i="5"/>
  <c r="Y515" i="5"/>
  <c r="Y516" i="5"/>
  <c r="Y517" i="5"/>
  <c r="Y518" i="5"/>
  <c r="Y519" i="5"/>
  <c r="Y520" i="5"/>
  <c r="Y521" i="5"/>
  <c r="Y522" i="5"/>
  <c r="Y523" i="5"/>
  <c r="Y524" i="5"/>
  <c r="Y525" i="5"/>
  <c r="Y526" i="5"/>
  <c r="Y527" i="5"/>
  <c r="Y528" i="5"/>
  <c r="Y529" i="5"/>
  <c r="Y530" i="5"/>
  <c r="Y531" i="5"/>
  <c r="Y532" i="5"/>
  <c r="Y533" i="5"/>
  <c r="Y534" i="5"/>
  <c r="Y535" i="5"/>
  <c r="Y536" i="5"/>
  <c r="Y537" i="5"/>
  <c r="Y538" i="5"/>
  <c r="Y539" i="5"/>
  <c r="Y540" i="5"/>
  <c r="Y541" i="5"/>
  <c r="Y542" i="5"/>
  <c r="Y543" i="5"/>
  <c r="Y544" i="5"/>
  <c r="Y545" i="5"/>
  <c r="Y546" i="5"/>
  <c r="Y547" i="5"/>
  <c r="Y548" i="5"/>
  <c r="Y549" i="5"/>
  <c r="Y550" i="5"/>
  <c r="Y551" i="5"/>
  <c r="Y552" i="5"/>
  <c r="Y553" i="5"/>
  <c r="Y554" i="5"/>
  <c r="Y555" i="5"/>
  <c r="Y556" i="5"/>
  <c r="Y557" i="5"/>
  <c r="Y558" i="5"/>
  <c r="Y559" i="5"/>
  <c r="Y560" i="5"/>
  <c r="Y561" i="5"/>
  <c r="Y562" i="5"/>
  <c r="Y563" i="5"/>
  <c r="Y564" i="5"/>
  <c r="Y565" i="5"/>
  <c r="Y566" i="5"/>
  <c r="Y567" i="5"/>
  <c r="Y568" i="5"/>
  <c r="Y569" i="5"/>
  <c r="Y570" i="5"/>
  <c r="Y571" i="5"/>
  <c r="Y572" i="5"/>
  <c r="Y573" i="5"/>
  <c r="Y574" i="5"/>
  <c r="Y575" i="5"/>
  <c r="Y576" i="5"/>
  <c r="Y577" i="5"/>
  <c r="Y578" i="5"/>
  <c r="Y579" i="5"/>
  <c r="T35" i="2"/>
  <c r="U35" i="2"/>
  <c r="N5" i="2" l="1"/>
  <c r="T6" i="2"/>
  <c r="U33" i="2"/>
  <c r="M5" i="2"/>
  <c r="I49" i="2"/>
  <c r="D4" i="2" l="1"/>
  <c r="D54" i="2" l="1"/>
  <c r="D56" i="2" l="1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73" i="2"/>
  <c r="D85" i="2"/>
  <c r="D93" i="2"/>
  <c r="D105" i="2"/>
  <c r="D109" i="2"/>
  <c r="D58" i="2"/>
  <c r="D66" i="2"/>
  <c r="D74" i="2"/>
  <c r="D82" i="2"/>
  <c r="D90" i="2"/>
  <c r="D98" i="2"/>
  <c r="D106" i="2"/>
  <c r="D114" i="2"/>
  <c r="D59" i="2"/>
  <c r="D67" i="2"/>
  <c r="D79" i="2"/>
  <c r="D87" i="2"/>
  <c r="D95" i="2"/>
  <c r="D103" i="2"/>
  <c r="D111" i="2"/>
  <c r="D119" i="2"/>
  <c r="D57" i="2"/>
  <c r="D61" i="2"/>
  <c r="D65" i="2"/>
  <c r="D69" i="2"/>
  <c r="D77" i="2"/>
  <c r="D81" i="2"/>
  <c r="D89" i="2"/>
  <c r="D97" i="2"/>
  <c r="D101" i="2"/>
  <c r="D113" i="2"/>
  <c r="D117" i="2"/>
  <c r="D62" i="2"/>
  <c r="D70" i="2"/>
  <c r="D78" i="2"/>
  <c r="D86" i="2"/>
  <c r="D94" i="2"/>
  <c r="D102" i="2"/>
  <c r="D110" i="2"/>
  <c r="D118" i="2"/>
  <c r="D63" i="2"/>
  <c r="D71" i="2"/>
  <c r="D75" i="2"/>
  <c r="D83" i="2"/>
  <c r="D91" i="2"/>
  <c r="D99" i="2"/>
  <c r="D107" i="2"/>
  <c r="D115" i="2"/>
  <c r="D120" i="2"/>
  <c r="D121" i="2"/>
  <c r="D124" i="2"/>
  <c r="D123" i="2"/>
  <c r="D122" i="2"/>
  <c r="D125" i="2"/>
  <c r="D126" i="2"/>
  <c r="C9" i="3"/>
  <c r="B9" i="3"/>
  <c r="A9" i="3"/>
  <c r="C9" i="7"/>
  <c r="B9" i="7"/>
  <c r="A9" i="7"/>
  <c r="E16" i="2"/>
  <c r="E33" i="2"/>
  <c r="B16" i="2"/>
  <c r="B4" i="2"/>
  <c r="X34" i="2"/>
  <c r="X35" i="2" s="1"/>
  <c r="C33" i="2"/>
  <c r="B49" i="2"/>
  <c r="E49" i="2"/>
  <c r="B54" i="2"/>
  <c r="U42" i="2"/>
  <c r="U39" i="2"/>
  <c r="U38" i="2"/>
  <c r="AH4" i="5"/>
  <c r="AG4" i="5"/>
  <c r="T43" i="2" s="1"/>
  <c r="AF4" i="5"/>
  <c r="T42" i="2" s="1"/>
  <c r="AE4" i="5"/>
  <c r="T41" i="2" s="1"/>
  <c r="AD4" i="5"/>
  <c r="T40" i="2" s="1"/>
  <c r="AC4" i="5"/>
  <c r="T39" i="2" s="1"/>
  <c r="AB4" i="5"/>
  <c r="T38" i="2" s="1"/>
  <c r="AA4" i="5"/>
  <c r="U37" i="2" s="1"/>
  <c r="Z4" i="5"/>
  <c r="U36" i="2" s="1"/>
  <c r="Y4" i="5"/>
  <c r="B19" i="2" l="1"/>
  <c r="U40" i="2"/>
  <c r="U43" i="2"/>
  <c r="U41" i="2"/>
  <c r="M19" i="2"/>
  <c r="M20" i="2"/>
  <c r="M24" i="2"/>
  <c r="M28" i="2"/>
  <c r="M27" i="2"/>
  <c r="M21" i="2"/>
  <c r="M25" i="2"/>
  <c r="M29" i="2"/>
  <c r="M22" i="2"/>
  <c r="M26" i="2"/>
  <c r="T37" i="2"/>
  <c r="D6" i="2"/>
  <c r="D55" i="2"/>
  <c r="T36" i="2"/>
  <c r="C6" i="2"/>
  <c r="F20" i="2"/>
  <c r="H21" i="2"/>
  <c r="B21" i="2"/>
  <c r="H20" i="2"/>
  <c r="C21" i="2"/>
  <c r="C20" i="2"/>
  <c r="F19" i="2"/>
  <c r="J19" i="2"/>
  <c r="N19" i="2"/>
  <c r="C19" i="2"/>
  <c r="G19" i="2"/>
  <c r="K19" i="2"/>
  <c r="D19" i="2"/>
  <c r="H19" i="2"/>
  <c r="L19" i="2"/>
  <c r="E19" i="2"/>
  <c r="I19" i="2"/>
  <c r="B20" i="2"/>
  <c r="K20" i="2"/>
  <c r="D20" i="2"/>
  <c r="L20" i="2"/>
  <c r="G20" i="2"/>
  <c r="I20" i="2"/>
  <c r="J20" i="2"/>
  <c r="E20" i="2"/>
  <c r="B13" i="2"/>
  <c r="F21" i="2"/>
  <c r="J21" i="2"/>
  <c r="B22" i="2"/>
  <c r="F22" i="2"/>
  <c r="J22" i="2"/>
  <c r="C24" i="2"/>
  <c r="G24" i="2"/>
  <c r="K24" i="2"/>
  <c r="C25" i="2"/>
  <c r="G25" i="2"/>
  <c r="K25" i="2"/>
  <c r="C26" i="2"/>
  <c r="G26" i="2"/>
  <c r="K26" i="2"/>
  <c r="C27" i="2"/>
  <c r="G27" i="2"/>
  <c r="K27" i="2"/>
  <c r="C28" i="2"/>
  <c r="G28" i="2"/>
  <c r="K28" i="2"/>
  <c r="C29" i="2"/>
  <c r="G29" i="2"/>
  <c r="K29" i="2"/>
  <c r="G21" i="2"/>
  <c r="K21" i="2"/>
  <c r="C22" i="2"/>
  <c r="G22" i="2"/>
  <c r="K22" i="2"/>
  <c r="D24" i="2"/>
  <c r="H24" i="2"/>
  <c r="L24" i="2"/>
  <c r="D25" i="2"/>
  <c r="H25" i="2"/>
  <c r="L25" i="2"/>
  <c r="D26" i="2"/>
  <c r="H26" i="2"/>
  <c r="L26" i="2"/>
  <c r="D27" i="2"/>
  <c r="H27" i="2"/>
  <c r="L27" i="2"/>
  <c r="D28" i="2"/>
  <c r="H28" i="2"/>
  <c r="L28" i="2"/>
  <c r="D29" i="2"/>
  <c r="H29" i="2"/>
  <c r="L29" i="2"/>
  <c r="I21" i="2"/>
  <c r="E22" i="2"/>
  <c r="I22" i="2"/>
  <c r="F24" i="2"/>
  <c r="B25" i="2"/>
  <c r="F26" i="2"/>
  <c r="J26" i="2"/>
  <c r="J27" i="2"/>
  <c r="J28" i="2"/>
  <c r="J29" i="2"/>
  <c r="D21" i="2"/>
  <c r="L21" i="2"/>
  <c r="D22" i="2"/>
  <c r="H22" i="2"/>
  <c r="L22" i="2"/>
  <c r="E24" i="2"/>
  <c r="I24" i="2"/>
  <c r="E25" i="2"/>
  <c r="I25" i="2"/>
  <c r="E26" i="2"/>
  <c r="I26" i="2"/>
  <c r="E27" i="2"/>
  <c r="I27" i="2"/>
  <c r="E28" i="2"/>
  <c r="I28" i="2"/>
  <c r="E29" i="2"/>
  <c r="I29" i="2"/>
  <c r="E21" i="2"/>
  <c r="B24" i="2"/>
  <c r="J24" i="2"/>
  <c r="F25" i="2"/>
  <c r="J25" i="2"/>
  <c r="B26" i="2"/>
  <c r="B27" i="2"/>
  <c r="F27" i="2"/>
  <c r="B28" i="2"/>
  <c r="F28" i="2"/>
  <c r="B29" i="2"/>
  <c r="F29" i="2"/>
  <c r="C8" i="2"/>
  <c r="G6" i="2"/>
  <c r="I11" i="2"/>
  <c r="K9" i="2"/>
  <c r="K6" i="2"/>
  <c r="E11" i="2"/>
  <c r="G9" i="2"/>
  <c r="H7" i="2"/>
  <c r="B10" i="2"/>
  <c r="H12" i="2"/>
  <c r="J10" i="2"/>
  <c r="C9" i="2"/>
  <c r="D7" i="2"/>
  <c r="D12" i="2"/>
  <c r="F10" i="2"/>
  <c r="H8" i="2"/>
  <c r="G14" i="2"/>
  <c r="I13" i="2"/>
  <c r="B9" i="2"/>
  <c r="H6" i="2"/>
  <c r="K12" i="2"/>
  <c r="G12" i="2"/>
  <c r="C12" i="2"/>
  <c r="H11" i="2"/>
  <c r="D11" i="2"/>
  <c r="I10" i="2"/>
  <c r="E10" i="2"/>
  <c r="J9" i="2"/>
  <c r="F9" i="2"/>
  <c r="K8" i="2"/>
  <c r="G8" i="2"/>
  <c r="K7" i="2"/>
  <c r="G7" i="2"/>
  <c r="C7" i="2"/>
  <c r="J14" i="2"/>
  <c r="F14" i="2"/>
  <c r="B14" i="2"/>
  <c r="H13" i="2"/>
  <c r="D13" i="2"/>
  <c r="B12" i="2"/>
  <c r="B8" i="2"/>
  <c r="E6" i="2"/>
  <c r="I6" i="2"/>
  <c r="J12" i="2"/>
  <c r="F12" i="2"/>
  <c r="N12" i="2" s="1"/>
  <c r="K11" i="2"/>
  <c r="G11" i="2"/>
  <c r="C11" i="2"/>
  <c r="H10" i="2"/>
  <c r="D10" i="2"/>
  <c r="I9" i="2"/>
  <c r="E9" i="2"/>
  <c r="J8" i="2"/>
  <c r="F8" i="2"/>
  <c r="J7" i="2"/>
  <c r="F7" i="2"/>
  <c r="B6" i="2"/>
  <c r="D8" i="2"/>
  <c r="I14" i="2"/>
  <c r="E14" i="2"/>
  <c r="K13" i="2"/>
  <c r="G13" i="2"/>
  <c r="C13" i="2"/>
  <c r="K14" i="2"/>
  <c r="C14" i="2"/>
  <c r="E13" i="2"/>
  <c r="B11" i="2"/>
  <c r="B7" i="2"/>
  <c r="F6" i="2"/>
  <c r="J6" i="2"/>
  <c r="I12" i="2"/>
  <c r="E12" i="2"/>
  <c r="J11" i="2"/>
  <c r="F11" i="2"/>
  <c r="K10" i="2"/>
  <c r="G10" i="2"/>
  <c r="C10" i="2"/>
  <c r="H9" i="2"/>
  <c r="D9" i="2"/>
  <c r="I8" i="2"/>
  <c r="E8" i="2"/>
  <c r="I7" i="2"/>
  <c r="E7" i="2"/>
  <c r="H14" i="2"/>
  <c r="D14" i="2"/>
  <c r="J13" i="2"/>
  <c r="F13" i="2"/>
  <c r="X36" i="2"/>
  <c r="C1" i="2"/>
  <c r="M8" i="2" l="1"/>
  <c r="M11" i="2"/>
  <c r="M9" i="2"/>
  <c r="M14" i="2"/>
  <c r="M10" i="2"/>
  <c r="M7" i="2"/>
  <c r="M12" i="2"/>
  <c r="M13" i="2"/>
  <c r="N11" i="2"/>
  <c r="N6" i="2"/>
  <c r="N7" i="2"/>
  <c r="N10" i="2"/>
  <c r="N8" i="2"/>
  <c r="N9" i="2"/>
  <c r="M23" i="2"/>
  <c r="N26" i="2"/>
  <c r="N24" i="2"/>
  <c r="N22" i="2"/>
  <c r="N20" i="2"/>
  <c r="N21" i="2"/>
  <c r="N25" i="2"/>
  <c r="N28" i="2"/>
  <c r="N29" i="2"/>
  <c r="N27" i="2"/>
  <c r="X37" i="2"/>
  <c r="J55" i="2"/>
  <c r="J56" i="2"/>
  <c r="M6" i="2"/>
  <c r="F23" i="2"/>
  <c r="F30" i="2" s="1"/>
  <c r="F39" i="2" s="1"/>
  <c r="G23" i="2"/>
  <c r="G30" i="2" s="1"/>
  <c r="G45" i="2" s="1"/>
  <c r="E23" i="2"/>
  <c r="E30" i="2" s="1"/>
  <c r="E45" i="2" s="1"/>
  <c r="L23" i="2"/>
  <c r="L30" i="2" s="1"/>
  <c r="L45" i="2" s="1"/>
  <c r="I23" i="2"/>
  <c r="I30" i="2" s="1"/>
  <c r="I45" i="2" s="1"/>
  <c r="C23" i="2"/>
  <c r="C30" i="2" s="1"/>
  <c r="C45" i="2" s="1"/>
  <c r="B23" i="2"/>
  <c r="H23" i="2"/>
  <c r="H30" i="2" s="1"/>
  <c r="H45" i="2" s="1"/>
  <c r="D23" i="2"/>
  <c r="D30" i="2" s="1"/>
  <c r="D45" i="2" s="1"/>
  <c r="K23" i="2"/>
  <c r="K30" i="2" s="1"/>
  <c r="K45" i="2" s="1"/>
  <c r="J23" i="2"/>
  <c r="J30" i="2" s="1"/>
  <c r="J45" i="2" s="1"/>
  <c r="H37" i="2" l="1"/>
  <c r="M30" i="2"/>
  <c r="M39" i="2" s="1"/>
  <c r="K56" i="2"/>
  <c r="B30" i="2"/>
  <c r="F45" i="2"/>
  <c r="N23" i="2"/>
  <c r="N30" i="2" s="1"/>
  <c r="N45" i="2" s="1"/>
  <c r="J39" i="2"/>
  <c r="F37" i="2"/>
  <c r="G39" i="2"/>
  <c r="K41" i="2"/>
  <c r="F35" i="2"/>
  <c r="F40" i="2"/>
  <c r="F36" i="2"/>
  <c r="L39" i="2"/>
  <c r="C39" i="2"/>
  <c r="E35" i="2"/>
  <c r="H42" i="2"/>
  <c r="I39" i="2"/>
  <c r="D37" i="2"/>
  <c r="L36" i="2"/>
  <c r="F44" i="2"/>
  <c r="F42" i="2"/>
  <c r="J36" i="2"/>
  <c r="J35" i="2"/>
  <c r="J41" i="2"/>
  <c r="J40" i="2"/>
  <c r="J37" i="2"/>
  <c r="J42" i="2"/>
  <c r="J38" i="2"/>
  <c r="J44" i="2"/>
  <c r="J43" i="2"/>
  <c r="F38" i="2"/>
  <c r="F43" i="2"/>
  <c r="F41" i="2"/>
  <c r="M35" i="2" l="1"/>
  <c r="M45" i="2"/>
  <c r="M42" i="2"/>
  <c r="M43" i="2"/>
  <c r="M44" i="2"/>
  <c r="M37" i="2"/>
  <c r="M41" i="2"/>
  <c r="M36" i="2"/>
  <c r="M40" i="2"/>
  <c r="M38" i="2"/>
  <c r="B36" i="2"/>
  <c r="B45" i="2"/>
  <c r="E51" i="2"/>
  <c r="I51" i="2"/>
  <c r="K37" i="2"/>
  <c r="G37" i="2"/>
  <c r="G38" i="2"/>
  <c r="E36" i="2"/>
  <c r="G41" i="2"/>
  <c r="G44" i="2"/>
  <c r="G43" i="2"/>
  <c r="E40" i="2"/>
  <c r="G36" i="2"/>
  <c r="G42" i="2"/>
  <c r="G40" i="2"/>
  <c r="G35" i="2"/>
  <c r="H41" i="2"/>
  <c r="K36" i="2"/>
  <c r="L43" i="2"/>
  <c r="H38" i="2"/>
  <c r="L35" i="2"/>
  <c r="K35" i="2"/>
  <c r="L40" i="2"/>
  <c r="C41" i="2"/>
  <c r="H39" i="2"/>
  <c r="F46" i="2"/>
  <c r="I41" i="2"/>
  <c r="E38" i="2"/>
  <c r="I38" i="2"/>
  <c r="E42" i="2"/>
  <c r="J46" i="2"/>
  <c r="B35" i="2"/>
  <c r="B38" i="2"/>
  <c r="B39" i="2"/>
  <c r="D42" i="2"/>
  <c r="D44" i="2"/>
  <c r="E39" i="2"/>
  <c r="C36" i="2"/>
  <c r="E44" i="2"/>
  <c r="E41" i="2"/>
  <c r="D36" i="2"/>
  <c r="D38" i="2"/>
  <c r="D41" i="2"/>
  <c r="D43" i="2"/>
  <c r="D39" i="2"/>
  <c r="C42" i="2"/>
  <c r="I40" i="2"/>
  <c r="K38" i="2"/>
  <c r="K43" i="2"/>
  <c r="I43" i="2"/>
  <c r="K40" i="2"/>
  <c r="C43" i="2"/>
  <c r="K42" i="2"/>
  <c r="C40" i="2"/>
  <c r="I44" i="2"/>
  <c r="L37" i="2"/>
  <c r="L41" i="2"/>
  <c r="L42" i="2"/>
  <c r="L44" i="2"/>
  <c r="C38" i="2"/>
  <c r="D35" i="2"/>
  <c r="I37" i="2"/>
  <c r="D40" i="2"/>
  <c r="B43" i="2"/>
  <c r="K44" i="2"/>
  <c r="L38" i="2"/>
  <c r="I36" i="2"/>
  <c r="I42" i="2"/>
  <c r="H44" i="2"/>
  <c r="H43" i="2"/>
  <c r="H36" i="2"/>
  <c r="H35" i="2"/>
  <c r="H40" i="2"/>
  <c r="C35" i="2"/>
  <c r="C37" i="2"/>
  <c r="N39" i="2"/>
  <c r="B41" i="2"/>
  <c r="B44" i="2"/>
  <c r="B42" i="2"/>
  <c r="B37" i="2"/>
  <c r="B40" i="2"/>
  <c r="K39" i="2"/>
  <c r="I35" i="2"/>
  <c r="C44" i="2"/>
  <c r="E43" i="2"/>
  <c r="E37" i="2"/>
  <c r="M46" i="2" l="1"/>
  <c r="A51" i="2"/>
  <c r="K51" i="2"/>
  <c r="C51" i="2"/>
  <c r="J51" i="2"/>
  <c r="L51" i="2"/>
  <c r="H51" i="2"/>
  <c r="G51" i="2"/>
  <c r="F51" i="2"/>
  <c r="D51" i="2"/>
  <c r="B51" i="2"/>
  <c r="G46" i="2"/>
  <c r="L46" i="2"/>
  <c r="E46" i="2"/>
  <c r="K46" i="2"/>
  <c r="I46" i="2"/>
  <c r="B46" i="2"/>
  <c r="D46" i="2"/>
  <c r="C46" i="2"/>
  <c r="H46" i="2"/>
  <c r="N42" i="2"/>
  <c r="N41" i="2"/>
  <c r="N36" i="2"/>
  <c r="N43" i="2"/>
  <c r="N44" i="2"/>
  <c r="N37" i="2"/>
  <c r="N40" i="2"/>
  <c r="N38" i="2"/>
  <c r="N35" i="2"/>
  <c r="N46" i="2" l="1"/>
</calcChain>
</file>

<file path=xl/sharedStrings.xml><?xml version="1.0" encoding="utf-8"?>
<sst xmlns="http://schemas.openxmlformats.org/spreadsheetml/2006/main" count="2125" uniqueCount="145">
  <si>
    <t>Today</t>
  </si>
  <si>
    <t>Perkembangan Ekspor</t>
  </si>
  <si>
    <t>Tahun</t>
  </si>
  <si>
    <t>Perusahaan</t>
  </si>
  <si>
    <t>Product</t>
  </si>
  <si>
    <t>Volume ekspor</t>
  </si>
  <si>
    <t>Negara Tujuan</t>
  </si>
  <si>
    <t>SIG</t>
  </si>
  <si>
    <t>SG</t>
  </si>
  <si>
    <t>SP</t>
  </si>
  <si>
    <t>ST</t>
  </si>
  <si>
    <t>SBI</t>
  </si>
  <si>
    <t>CG</t>
  </si>
  <si>
    <t>SBM</t>
  </si>
  <si>
    <t>CCI</t>
  </si>
  <si>
    <t>ITP</t>
  </si>
  <si>
    <t>SB</t>
  </si>
  <si>
    <t>Total</t>
  </si>
  <si>
    <t>Januari</t>
  </si>
  <si>
    <t>Februari</t>
  </si>
  <si>
    <t>Maret</t>
  </si>
  <si>
    <t>April</t>
  </si>
  <si>
    <t>Mei</t>
  </si>
  <si>
    <t>Juni</t>
  </si>
  <si>
    <t>MS ekspor</t>
  </si>
  <si>
    <t>Juli</t>
  </si>
  <si>
    <t>Agustus</t>
  </si>
  <si>
    <t>September</t>
  </si>
  <si>
    <t>Oktober</t>
  </si>
  <si>
    <t>November</t>
  </si>
  <si>
    <t>Desember</t>
  </si>
  <si>
    <t>Tanggal</t>
  </si>
  <si>
    <t>PT SP</t>
  </si>
  <si>
    <t>PT SBI</t>
  </si>
  <si>
    <t>PT SG</t>
  </si>
  <si>
    <t>Bag</t>
  </si>
  <si>
    <t>Bulk</t>
  </si>
  <si>
    <t>Unit</t>
  </si>
  <si>
    <t>Negara</t>
  </si>
  <si>
    <t>Bulan</t>
  </si>
  <si>
    <t>Produk</t>
  </si>
  <si>
    <t>EKSPOR CLINKER</t>
  </si>
  <si>
    <t xml:space="preserve"> </t>
  </si>
  <si>
    <t>Clinker</t>
  </si>
  <si>
    <t>Australia</t>
  </si>
  <si>
    <t>Bangladesh</t>
  </si>
  <si>
    <t>Sri Lanka</t>
  </si>
  <si>
    <t>Chile</t>
  </si>
  <si>
    <t>Mauritius</t>
  </si>
  <si>
    <t>Mozambique</t>
  </si>
  <si>
    <t>India</t>
  </si>
  <si>
    <t>Maldives</t>
  </si>
  <si>
    <t>China</t>
  </si>
  <si>
    <t>Peru</t>
  </si>
  <si>
    <t>Myanmar</t>
  </si>
  <si>
    <t>Brunei</t>
  </si>
  <si>
    <t>Taiwan</t>
  </si>
  <si>
    <t>Burma</t>
  </si>
  <si>
    <t>New Zealand</t>
  </si>
  <si>
    <t>Singapore</t>
  </si>
  <si>
    <t>USA</t>
  </si>
  <si>
    <t>Hongkong</t>
  </si>
  <si>
    <t>South Africa</t>
  </si>
  <si>
    <t>Malta</t>
  </si>
  <si>
    <t>Timor Leste</t>
  </si>
  <si>
    <t>Cement</t>
  </si>
  <si>
    <t>Yaman</t>
  </si>
  <si>
    <t>Samoa</t>
  </si>
  <si>
    <t>Tahiti</t>
  </si>
  <si>
    <t>Vietnam</t>
  </si>
  <si>
    <t>UEA</t>
  </si>
  <si>
    <t>Comoro</t>
  </si>
  <si>
    <t>Papua New Guinea</t>
  </si>
  <si>
    <t>Chrismast Island</t>
  </si>
  <si>
    <t>PT ST</t>
  </si>
  <si>
    <t>Trend MS SIG ekspor</t>
  </si>
  <si>
    <t>Jan</t>
  </si>
  <si>
    <t>Feb</t>
  </si>
  <si>
    <t>Mar</t>
  </si>
  <si>
    <t>Apr</t>
  </si>
  <si>
    <t>Jun</t>
  </si>
  <si>
    <t>Jul</t>
  </si>
  <si>
    <t>Agust</t>
  </si>
  <si>
    <t>Sep</t>
  </si>
  <si>
    <t>Okt</t>
  </si>
  <si>
    <t>Nov</t>
  </si>
  <si>
    <t>Des</t>
  </si>
  <si>
    <t>Perbandingan Ekspor Negara Tujuan Berdasarkan Jenis Produk dan Perusahaan</t>
  </si>
  <si>
    <t>Jenis Produk</t>
  </si>
  <si>
    <t>% clinker dan cement per perusahaan</t>
  </si>
  <si>
    <t>SK</t>
  </si>
  <si>
    <t>MS</t>
  </si>
  <si>
    <t xml:space="preserve"> Australia</t>
  </si>
  <si>
    <t xml:space="preserve"> Bangladesh</t>
  </si>
  <si>
    <t xml:space="preserve"> Benin</t>
  </si>
  <si>
    <t xml:space="preserve"> Burma</t>
  </si>
  <si>
    <t xml:space="preserve"> China</t>
  </si>
  <si>
    <t xml:space="preserve"> Ghana</t>
  </si>
  <si>
    <t xml:space="preserve"> Guinea</t>
  </si>
  <si>
    <t xml:space="preserve"> India</t>
  </si>
  <si>
    <t xml:space="preserve"> Liberia</t>
  </si>
  <si>
    <t xml:space="preserve"> Madagascar</t>
  </si>
  <si>
    <t xml:space="preserve"> Malaysia</t>
  </si>
  <si>
    <t xml:space="preserve"> Philippines</t>
  </si>
  <si>
    <t xml:space="preserve"> Singapore</t>
  </si>
  <si>
    <t xml:space="preserve"> Srilanka</t>
  </si>
  <si>
    <t xml:space="preserve"> UEA</t>
  </si>
  <si>
    <t xml:space="preserve"> West Africa</t>
  </si>
  <si>
    <t xml:space="preserve"> Honiara</t>
  </si>
  <si>
    <t xml:space="preserve"> Kuwait</t>
  </si>
  <si>
    <t xml:space="preserve"> Maldives</t>
  </si>
  <si>
    <t xml:space="preserve"> Mauritius</t>
  </si>
  <si>
    <t xml:space="preserve"> Mayotte</t>
  </si>
  <si>
    <t xml:space="preserve"> New Caledonia</t>
  </si>
  <si>
    <t xml:space="preserve"> New Zealand</t>
  </si>
  <si>
    <t xml:space="preserve"> Nigeria</t>
  </si>
  <si>
    <t xml:space="preserve"> Oman</t>
  </si>
  <si>
    <t xml:space="preserve"> Pacific Islands</t>
  </si>
  <si>
    <t xml:space="preserve"> Port Villa</t>
  </si>
  <si>
    <t xml:space="preserve"> Republic of Guinee</t>
  </si>
  <si>
    <t xml:space="preserve"> Seychelles</t>
  </si>
  <si>
    <t xml:space="preserve"> Samoa</t>
  </si>
  <si>
    <t xml:space="preserve"> Somalia</t>
  </si>
  <si>
    <t xml:space="preserve"> Tahiti</t>
  </si>
  <si>
    <t xml:space="preserve"> Timor Leste</t>
  </si>
  <si>
    <t xml:space="preserve"> Tonga</t>
  </si>
  <si>
    <t xml:space="preserve"> Vietnam</t>
  </si>
  <si>
    <t xml:space="preserve"> Yaman</t>
  </si>
  <si>
    <t>Nasional</t>
  </si>
  <si>
    <t>Max Tahun</t>
  </si>
  <si>
    <t>NASIONAL</t>
  </si>
  <si>
    <t xml:space="preserve"> Myanmar</t>
  </si>
  <si>
    <t>EKSPOR CEMENT</t>
  </si>
  <si>
    <t>PT CC</t>
  </si>
  <si>
    <t>PT DD</t>
  </si>
  <si>
    <t>PT BB</t>
  </si>
  <si>
    <t>PT NN</t>
  </si>
  <si>
    <t>PT MM</t>
  </si>
  <si>
    <t>PT WW</t>
  </si>
  <si>
    <t>Kamboja</t>
  </si>
  <si>
    <t>Malaysia</t>
  </si>
  <si>
    <t>Singapura</t>
  </si>
  <si>
    <t>Laos</t>
  </si>
  <si>
    <t>Filipina</t>
  </si>
  <si>
    <t>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</si>
</sst>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#,##0;[Red]#,##0"/>
  </numFmts>
  <fonts count="1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Helv"/>
    </font>
    <font>
      <b/>
      <sz val="12"/>
      <color indexed="8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i/>
      <sz val="18"/>
      <color theme="0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2"/>
      <color indexed="8"/>
      <name val="Arial"/>
      <family val="2"/>
    </font>
    <font>
      <sz val="11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7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1766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theme="1" tint="4.9989318521683403E-2"/>
      </bottom>
      <diagonal/>
    </border>
    <border>
      <left/>
      <right style="thin">
        <color indexed="64"/>
      </right>
      <top style="double">
        <color theme="1" tint="4.9989318521683403E-2"/>
      </top>
      <bottom/>
      <diagonal/>
    </border>
    <border>
      <left style="double">
        <color theme="1" tint="4.9989318521683403E-2"/>
      </left>
      <right style="double">
        <color theme="1" tint="4.9989318521683403E-2"/>
      </right>
      <top style="double">
        <color theme="1" tint="4.9989318521683403E-2"/>
      </top>
      <bottom style="double">
        <color theme="1" tint="4.9989318521683403E-2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37" fontId="3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63">
    <xf numFmtId="0" fontId="0" fillId="0" borderId="0" xfId="0"/>
    <xf numFmtId="0" fontId="0" fillId="2" borderId="0" xfId="0" applyFill="1"/>
    <xf numFmtId="0" fontId="1" fillId="0" borderId="0" xfId="0" applyFont="1"/>
    <xf numFmtId="0" fontId="0" fillId="4" borderId="0" xfId="0" applyFill="1"/>
    <xf numFmtId="37" fontId="4" fillId="0" borderId="4" xfId="1" applyFont="1" applyBorder="1" applyAlignment="1">
      <alignment horizontal="center" vertical="center"/>
    </xf>
    <xf numFmtId="37" fontId="4" fillId="0" borderId="5" xfId="1" applyFont="1" applyBorder="1" applyAlignment="1">
      <alignment horizontal="center" vertical="center"/>
    </xf>
    <xf numFmtId="37" fontId="4" fillId="0" borderId="6" xfId="1" applyFont="1" applyBorder="1" applyAlignment="1">
      <alignment horizontal="center" vertical="center"/>
    </xf>
    <xf numFmtId="0" fontId="5" fillId="4" borderId="7" xfId="0" applyFont="1" applyFill="1" applyBorder="1"/>
    <xf numFmtId="0" fontId="5" fillId="4" borderId="8" xfId="0" applyFont="1" applyFill="1" applyBorder="1" applyAlignment="1">
      <alignment horizontal="right"/>
    </xf>
    <xf numFmtId="0" fontId="0" fillId="5" borderId="0" xfId="0" applyFill="1"/>
    <xf numFmtId="0" fontId="0" fillId="6" borderId="0" xfId="0" applyFill="1"/>
    <xf numFmtId="0" fontId="6" fillId="7" borderId="11" xfId="0" applyFont="1" applyFill="1" applyBorder="1" applyAlignment="1">
      <alignment horizontal="center"/>
    </xf>
    <xf numFmtId="0" fontId="6" fillId="7" borderId="12" xfId="0" applyFont="1" applyFill="1" applyBorder="1" applyAlignment="1">
      <alignment horizontal="center"/>
    </xf>
    <xf numFmtId="0" fontId="6" fillId="6" borderId="13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164" fontId="10" fillId="4" borderId="15" xfId="2" applyNumberFormat="1" applyFont="1" applyFill="1" applyBorder="1" applyAlignment="1">
      <alignment vertical="center"/>
    </xf>
    <xf numFmtId="164" fontId="10" fillId="0" borderId="17" xfId="6" applyNumberFormat="1" applyFont="1" applyFill="1" applyBorder="1" applyAlignment="1">
      <alignment vertical="center"/>
    </xf>
    <xf numFmtId="164" fontId="10" fillId="0" borderId="18" xfId="6" applyNumberFormat="1" applyFont="1" applyFill="1" applyBorder="1" applyAlignment="1">
      <alignment vertic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9" fontId="0" fillId="0" borderId="0" xfId="7" applyFont="1"/>
    <xf numFmtId="0" fontId="0" fillId="3" borderId="0" xfId="0" applyFill="1" applyAlignment="1">
      <alignment horizontal="left"/>
    </xf>
    <xf numFmtId="0" fontId="0" fillId="0" borderId="0" xfId="0" applyAlignment="1">
      <alignment horizontal="left"/>
    </xf>
    <xf numFmtId="0" fontId="14" fillId="4" borderId="0" xfId="0" applyFont="1" applyFill="1"/>
    <xf numFmtId="0" fontId="6" fillId="6" borderId="12" xfId="0" applyFont="1" applyFill="1" applyBorder="1" applyAlignment="1">
      <alignment horizontal="center" vertical="center"/>
    </xf>
    <xf numFmtId="37" fontId="15" fillId="0" borderId="20" xfId="1" applyFont="1" applyBorder="1" applyAlignment="1">
      <alignment vertical="center"/>
    </xf>
    <xf numFmtId="164" fontId="10" fillId="0" borderId="21" xfId="6" applyNumberFormat="1" applyFont="1" applyFill="1" applyBorder="1" applyAlignment="1">
      <alignment vertical="center"/>
    </xf>
    <xf numFmtId="164" fontId="10" fillId="0" borderId="22" xfId="6" applyNumberFormat="1" applyFont="1" applyFill="1" applyBorder="1" applyAlignment="1">
      <alignment vertical="center"/>
    </xf>
    <xf numFmtId="37" fontId="15" fillId="0" borderId="23" xfId="1" applyFont="1" applyBorder="1" applyAlignment="1">
      <alignment vertical="center"/>
    </xf>
    <xf numFmtId="164" fontId="10" fillId="0" borderId="24" xfId="6" applyNumberFormat="1" applyFont="1" applyFill="1" applyBorder="1" applyAlignment="1">
      <alignment vertical="center"/>
    </xf>
    <xf numFmtId="164" fontId="10" fillId="0" borderId="19" xfId="6" applyNumberFormat="1" applyFont="1" applyFill="1" applyBorder="1" applyAlignment="1">
      <alignment vertical="center"/>
    </xf>
    <xf numFmtId="0" fontId="0" fillId="13" borderId="0" xfId="0" applyFill="1"/>
    <xf numFmtId="0" fontId="0" fillId="8" borderId="0" xfId="0" applyFill="1"/>
    <xf numFmtId="0" fontId="16" fillId="5" borderId="0" xfId="0" applyFont="1" applyFill="1"/>
    <xf numFmtId="43" fontId="0" fillId="0" borderId="0" xfId="2" applyFont="1"/>
    <xf numFmtId="0" fontId="0" fillId="4" borderId="0" xfId="0" applyFill="1" applyAlignment="1">
      <alignment horizontal="center" vertical="center"/>
    </xf>
    <xf numFmtId="37" fontId="4" fillId="0" borderId="1" xfId="1" applyFont="1" applyBorder="1" applyAlignment="1">
      <alignment horizontal="center" vertical="center"/>
    </xf>
    <xf numFmtId="37" fontId="4" fillId="0" borderId="3" xfId="1" applyFont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37" fontId="4" fillId="0" borderId="2" xfId="1" applyFont="1" applyBorder="1" applyAlignment="1">
      <alignment horizontal="center" vertical="center"/>
    </xf>
    <xf numFmtId="37" fontId="4" fillId="0" borderId="10" xfId="1" applyFont="1" applyBorder="1" applyAlignment="1">
      <alignment horizontal="center" vertical="center"/>
    </xf>
    <xf numFmtId="0" fontId="0" fillId="3" borderId="0" xfId="0" applyFill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/>
    <xf numFmtId="0" fontId="2" fillId="0" borderId="9" xfId="0" applyFont="1" applyFill="1" applyBorder="1" applyAlignment="1">
      <alignment horizontal="center" vertical="center"/>
    </xf>
    <xf numFmtId="37" fontId="4" fillId="0" borderId="10" xfId="1" applyFont="1" applyFill="1" applyBorder="1" applyAlignment="1">
      <alignment horizontal="center" vertical="center"/>
    </xf>
    <xf numFmtId="37" fontId="4" fillId="0" borderId="2" xfId="1" applyFont="1" applyFill="1" applyBorder="1" applyAlignment="1">
      <alignment horizontal="center" vertical="center"/>
    </xf>
    <xf numFmtId="37" fontId="4" fillId="0" borderId="1" xfId="1" applyFont="1" applyFill="1" applyBorder="1" applyAlignment="1">
      <alignment horizontal="center" vertical="center"/>
    </xf>
    <xf numFmtId="37" fontId="4" fillId="0" borderId="3" xfId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vertical="center"/>
    </xf>
    <xf numFmtId="37" fontId="4" fillId="0" borderId="25" xfId="1" applyFont="1" applyFill="1" applyBorder="1" applyAlignment="1">
      <alignment horizontal="center" vertical="center"/>
    </xf>
    <xf numFmtId="37" fontId="4" fillId="0" borderId="16" xfId="1" applyFont="1" applyFill="1" applyBorder="1" applyAlignment="1">
      <alignment horizontal="center" vertical="center"/>
    </xf>
    <xf numFmtId="37" fontId="4" fillId="0" borderId="26" xfId="1" applyFont="1" applyFill="1" applyBorder="1" applyAlignment="1">
      <alignment horizontal="center" vertical="center"/>
    </xf>
    <xf numFmtId="0" fontId="0" fillId="0" borderId="0" xfId="0" applyFill="1" applyBorder="1"/>
    <xf numFmtId="164" fontId="10" fillId="0" borderId="0" xfId="2" applyNumberFormat="1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vertical="center"/>
    </xf>
    <xf numFmtId="164" fontId="10" fillId="0" borderId="0" xfId="5" applyNumberFormat="1" applyFont="1" applyFill="1" applyBorder="1" applyAlignment="1">
      <alignment vertical="center"/>
    </xf>
    <xf numFmtId="164" fontId="10" fillId="0" borderId="0" xfId="6" applyNumberFormat="1" applyFont="1" applyFill="1" applyBorder="1" applyAlignment="1">
      <alignment vertical="center"/>
    </xf>
    <xf numFmtId="165" fontId="8" fillId="0" borderId="0" xfId="0" applyNumberFormat="1" applyFont="1" applyFill="1" applyBorder="1"/>
    <xf numFmtId="41" fontId="8" fillId="0" borderId="0" xfId="3" applyFont="1" applyFill="1" applyBorder="1"/>
    <xf numFmtId="0" fontId="0" fillId="0" borderId="0" xfId="0" applyBorder="1"/>
  </cellXfs>
  <cellStyles count="8">
    <cellStyle name="Comma" xfId="2" builtinId="3"/>
    <cellStyle name="Comma [0]" xfId="3" builtinId="6"/>
    <cellStyle name="Comma 2" xfId="6" xr:uid="{758C189D-4DC2-4305-B414-584CFF4F9DB5}"/>
    <cellStyle name="Comma 4" xfId="5" xr:uid="{C6AD619B-E411-4C18-A347-7C4430CE281D}"/>
    <cellStyle name="Comma 5" xfId="4" xr:uid="{6F029EE2-C631-4B2F-8188-88D685D3E240}"/>
    <cellStyle name="Normal" xfId="0" builtinId="0"/>
    <cellStyle name="Normal_format" xfId="1" xr:uid="{57D13E71-C8FB-4277-B1B6-3E5B815CA4CD}"/>
    <cellStyle name="Percent" xfId="7" builtinId="5"/>
  </cellStyles>
  <dxfs count="0"/>
  <tableStyles count="0" defaultTableStyle="TableStyleMedium2" defaultPivotStyle="PivotStyleLight16"/>
  <colors>
    <mruColors>
      <color rgb="FFE36157"/>
      <color rgb="FF700000"/>
      <color rgb="FFE17661"/>
      <color rgb="FF8E0000"/>
      <color rgb="FFA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Sheet2!$M$5</c:f>
              <c:strCache>
                <c:ptCount val="1"/>
                <c:pt idx="0">
                  <c:v>NASIONAL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Sheet2!$A$6:$A$14</c:f>
              <c:numCache>
                <c:formatCode>General</c:formatCode>
                <c:ptCount val="9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Sheet2!$M$6:$M$14</c:f>
              <c:numCache>
                <c:formatCode>_(* #,##0.00_);_(* \(#,##0.00\);_(* "-"??_);_(@_)</c:formatCode>
                <c:ptCount val="9"/>
                <c:pt idx="0">
                  <c:v>609849.34600000002</c:v>
                </c:pt>
                <c:pt idx="1">
                  <c:v>440941.56400000001</c:v>
                </c:pt>
                <c:pt idx="2">
                  <c:v>287491</c:v>
                </c:pt>
                <c:pt idx="3">
                  <c:v>438909.78200000001</c:v>
                </c:pt>
                <c:pt idx="4">
                  <c:v>453022.56400000001</c:v>
                </c:pt>
                <c:pt idx="5">
                  <c:v>941901.34600000002</c:v>
                </c:pt>
                <c:pt idx="6">
                  <c:v>425548.78200000001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BE-4D0E-A2AF-B779D528F90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484715504"/>
        <c:axId val="536102928"/>
      </c:lineChart>
      <c:catAx>
        <c:axId val="484715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02928"/>
        <c:crosses val="autoZero"/>
        <c:auto val="1"/>
        <c:lblAlgn val="ctr"/>
        <c:lblOffset val="100"/>
        <c:noMultiLvlLbl val="0"/>
      </c:catAx>
      <c:valAx>
        <c:axId val="536102928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48471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Sheet2!$A$23</c:f>
              <c:strCache>
                <c:ptCount val="1"/>
                <c:pt idx="0">
                  <c:v>SIG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Sheet2!$A$50:$L$50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Agust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Sheet2!$B$23:$M$23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1200</c:v>
                </c:pt>
                <c:pt idx="3">
                  <c:v>0</c:v>
                </c:pt>
                <c:pt idx="4">
                  <c:v>10000</c:v>
                </c:pt>
                <c:pt idx="5">
                  <c:v>2700</c:v>
                </c:pt>
                <c:pt idx="6">
                  <c:v>45250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73-45DF-A690-B112022EAACD}"/>
            </c:ext>
          </c:extLst>
        </c:ser>
        <c:ser>
          <c:idx val="1"/>
          <c:order val="1"/>
          <c:tx>
            <c:strRef>
              <c:f>Sheet2!$A$24</c:f>
              <c:strCache>
                <c:ptCount val="1"/>
                <c:pt idx="0">
                  <c:v>CCI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Sheet2!$A$50:$L$50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Agust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Sheet2!$B$24:$M$24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700</c:v>
                </c:pt>
                <c:pt idx="3">
                  <c:v>0</c:v>
                </c:pt>
                <c:pt idx="4">
                  <c:v>500</c:v>
                </c:pt>
                <c:pt idx="5">
                  <c:v>1000</c:v>
                </c:pt>
                <c:pt idx="6">
                  <c:v>0</c:v>
                </c:pt>
                <c:pt idx="7">
                  <c:v>10000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73-45DF-A690-B112022EAACD}"/>
            </c:ext>
          </c:extLst>
        </c:ser>
        <c:ser>
          <c:idx val="2"/>
          <c:order val="2"/>
          <c:tx>
            <c:strRef>
              <c:f>Sheet2!$A$25</c:f>
              <c:strCache>
                <c:ptCount val="1"/>
                <c:pt idx="0">
                  <c:v>CG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Sheet2!$A$50:$L$50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Agust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Sheet2!$B$25:$M$25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73-45DF-A690-B112022EAACD}"/>
            </c:ext>
          </c:extLst>
        </c:ser>
        <c:ser>
          <c:idx val="3"/>
          <c:order val="3"/>
          <c:tx>
            <c:strRef>
              <c:f>Sheet2!$A$26</c:f>
              <c:strCache>
                <c:ptCount val="1"/>
                <c:pt idx="0">
                  <c:v>ITP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Sheet2!$A$50:$L$50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Agust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Sheet2!$B$26:$M$26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1000</c:v>
                </c:pt>
                <c:pt idx="6">
                  <c:v>0</c:v>
                </c:pt>
                <c:pt idx="7">
                  <c:v>500</c:v>
                </c:pt>
                <c:pt idx="8">
                  <c:v>0</c:v>
                </c:pt>
                <c:pt idx="9">
                  <c:v>2500</c:v>
                </c:pt>
                <c:pt idx="10">
                  <c:v>2500</c:v>
                </c:pt>
                <c:pt idx="1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73-45DF-A690-B112022EAACD}"/>
            </c:ext>
          </c:extLst>
        </c:ser>
        <c:ser>
          <c:idx val="4"/>
          <c:order val="4"/>
          <c:tx>
            <c:strRef>
              <c:f>Sheet2!$A$27</c:f>
              <c:strCache>
                <c:ptCount val="1"/>
                <c:pt idx="0">
                  <c:v>SB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Sheet2!$A$50:$L$50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Agust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Sheet2!$B$27:$M$27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12000</c:v>
                </c:pt>
                <c:pt idx="3">
                  <c:v>0</c:v>
                </c:pt>
                <c:pt idx="4">
                  <c:v>500</c:v>
                </c:pt>
                <c:pt idx="5">
                  <c:v>2500</c:v>
                </c:pt>
                <c:pt idx="6">
                  <c:v>0</c:v>
                </c:pt>
                <c:pt idx="7">
                  <c:v>2500</c:v>
                </c:pt>
                <c:pt idx="8">
                  <c:v>0</c:v>
                </c:pt>
                <c:pt idx="9">
                  <c:v>300</c:v>
                </c:pt>
                <c:pt idx="10">
                  <c:v>300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73-45DF-A690-B112022EAACD}"/>
            </c:ext>
          </c:extLst>
        </c:ser>
        <c:ser>
          <c:idx val="5"/>
          <c:order val="5"/>
          <c:tx>
            <c:strRef>
              <c:f>Sheet2!$A$28</c:f>
              <c:strCache>
                <c:ptCount val="1"/>
                <c:pt idx="0">
                  <c:v>SBM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Sheet2!$A$50:$L$50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Agust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Sheet2!$B$28:$M$28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500</c:v>
                </c:pt>
                <c:pt idx="8">
                  <c:v>0</c:v>
                </c:pt>
                <c:pt idx="9">
                  <c:v>2500</c:v>
                </c:pt>
                <c:pt idx="10">
                  <c:v>2500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73-45DF-A690-B112022EAACD}"/>
            </c:ext>
          </c:extLst>
        </c:ser>
        <c:ser>
          <c:idx val="6"/>
          <c:order val="6"/>
          <c:tx>
            <c:strRef>
              <c:f>Sheet2!$A$29</c:f>
              <c:strCache>
                <c:ptCount val="1"/>
                <c:pt idx="0">
                  <c:v>SK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Sheet2!$A$50:$L$50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Agust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Sheet2!$B$29:$M$29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73-45DF-A690-B112022EA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5163880"/>
        <c:axId val="585160600"/>
        <c:axId val="0"/>
      </c:bar3DChart>
      <c:catAx>
        <c:axId val="585163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160600"/>
        <c:crosses val="autoZero"/>
        <c:auto val="1"/>
        <c:lblAlgn val="ctr"/>
        <c:lblOffset val="100"/>
        <c:noMultiLvlLbl val="0"/>
      </c:catAx>
      <c:valAx>
        <c:axId val="585160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163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5782847414324"/>
          <c:y val="0.1884451513143362"/>
          <c:w val="0.51012740240786447"/>
          <c:h val="0.78557844046830128"/>
        </c:manualLayout>
      </c:layout>
      <c:pieChart>
        <c:varyColors val="1"/>
        <c:ser>
          <c:idx val="0"/>
          <c:order val="0"/>
          <c:spPr>
            <a:effectLst>
              <a:glow rad="228600">
                <a:schemeClr val="accent4">
                  <a:satMod val="175000"/>
                  <a:alpha val="40000"/>
                </a:schemeClr>
              </a:glow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glow rad="228600">
                  <a:schemeClr val="accent4">
                    <a:satMod val="175000"/>
                    <a:alpha val="40000"/>
                  </a:schemeClr>
                </a:glow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B0-4E0B-A831-74EF6136F28B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glow rad="228600">
                  <a:schemeClr val="accent4">
                    <a:satMod val="175000"/>
                    <a:alpha val="40000"/>
                  </a:schemeClr>
                </a:glow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B0-4E0B-A831-74EF6136F28B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  <a:effectLst>
                <a:glow rad="228600">
                  <a:schemeClr val="accent4">
                    <a:satMod val="175000"/>
                    <a:alpha val="40000"/>
                  </a:schemeClr>
                </a:glow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B0-4E0B-A831-74EF6136F28B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228600">
                  <a:schemeClr val="accent4">
                    <a:satMod val="175000"/>
                    <a:alpha val="40000"/>
                  </a:schemeClr>
                </a:glow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B0-4E0B-A831-74EF6136F28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Sheet2!$A$35:$A$38</c:f>
              <c:strCache>
                <c:ptCount val="4"/>
                <c:pt idx="0">
                  <c:v>PT SG</c:v>
                </c:pt>
                <c:pt idx="1">
                  <c:v>PT SP</c:v>
                </c:pt>
                <c:pt idx="2">
                  <c:v>PT ST</c:v>
                </c:pt>
                <c:pt idx="3">
                  <c:v>PT SBI</c:v>
                </c:pt>
              </c:strCache>
            </c:strRef>
          </c:cat>
          <c:val>
            <c:numRef>
              <c:f>Sheet2!$N$35:$N$38</c:f>
              <c:numCache>
                <c:formatCode>General</c:formatCode>
                <c:ptCount val="4"/>
                <c:pt idx="0">
                  <c:v>0</c:v>
                </c:pt>
                <c:pt idx="1">
                  <c:v>9.5648015303682454E-3</c:v>
                </c:pt>
                <c:pt idx="2">
                  <c:v>0.10401721664275466</c:v>
                </c:pt>
                <c:pt idx="3">
                  <c:v>0.45026303204208512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B0-4E0B-A831-74EF6136F28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6.526209055988344E-2"/>
          <c:y val="0"/>
          <c:w val="0.82559279298355714"/>
          <c:h val="0.182553310461499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>
      <a:glow rad="228600">
        <a:schemeClr val="accent2">
          <a:satMod val="175000"/>
          <a:alpha val="40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585389326334208"/>
          <c:y val="0.12709591648531621"/>
          <c:w val="0.55819686651543132"/>
          <c:h val="0.83368537459869207"/>
        </c:manualLayout>
      </c:layout>
      <c:pieChart>
        <c:varyColors val="1"/>
        <c:ser>
          <c:idx val="0"/>
          <c:order val="0"/>
          <c:spPr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1614-4CF8-87D5-B67BC763DD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1614-4CF8-87D5-B67BC763DD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5-1614-4CF8-87D5-B67BC763DD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7-1614-4CF8-87D5-B67BC763DD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9-1614-4CF8-87D5-B67BC763DDA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B-1614-4CF8-87D5-B67BC763DDA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D-8750-45D2-835C-A15831F71EB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Sheet2!$A$39:$A$45</c:f>
              <c:strCache>
                <c:ptCount val="7"/>
                <c:pt idx="0">
                  <c:v>SIG</c:v>
                </c:pt>
                <c:pt idx="1">
                  <c:v>CCI</c:v>
                </c:pt>
                <c:pt idx="2">
                  <c:v>CG</c:v>
                </c:pt>
                <c:pt idx="3">
                  <c:v>ITP</c:v>
                </c:pt>
                <c:pt idx="4">
                  <c:v>SB</c:v>
                </c:pt>
                <c:pt idx="5">
                  <c:v>SBM</c:v>
                </c:pt>
                <c:pt idx="6">
                  <c:v>SK</c:v>
                </c:pt>
              </c:strCache>
            </c:strRef>
          </c:cat>
          <c:val>
            <c:numRef>
              <c:f>Sheet2!$N$39:$N$45</c:f>
              <c:numCache>
                <c:formatCode>General</c:formatCode>
                <c:ptCount val="7"/>
                <c:pt idx="0">
                  <c:v>0.56384505021520803</c:v>
                </c:pt>
                <c:pt idx="1">
                  <c:v>0.11669057867049258</c:v>
                </c:pt>
                <c:pt idx="2">
                  <c:v>9.5648015303682454E-3</c:v>
                </c:pt>
                <c:pt idx="3">
                  <c:v>6.5040650406504072E-2</c:v>
                </c:pt>
                <c:pt idx="4">
                  <c:v>0.17312290769966523</c:v>
                </c:pt>
                <c:pt idx="5">
                  <c:v>6.2171209947393592E-2</c:v>
                </c:pt>
                <c:pt idx="6">
                  <c:v>9.5648015303682454E-3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614-4CF8-87D5-B67BC763DDA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0531387819885793E-2"/>
          <c:y val="0.20798134924710759"/>
          <c:w val="0.10001140177448842"/>
          <c:h val="0.52177027620292959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Sheet2!$A$50:$L$50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Agust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Sheet2!$A$51:$L$51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0.90909090909090906</c:v>
                </c:pt>
                <c:pt idx="5">
                  <c:v>0.34722222222222221</c:v>
                </c:pt>
                <c:pt idx="6">
                  <c:v>0.73957219251336903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1F-4B1A-8815-1B421416A6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9659640"/>
        <c:axId val="489659968"/>
      </c:lineChart>
      <c:catAx>
        <c:axId val="489659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59968"/>
        <c:crosses val="autoZero"/>
        <c:auto val="1"/>
        <c:lblAlgn val="ctr"/>
        <c:lblOffset val="100"/>
        <c:noMultiLvlLbl val="0"/>
      </c:catAx>
      <c:valAx>
        <c:axId val="48965996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896596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925708521557496E-4"/>
          <c:y val="4.3777090779460841E-3"/>
          <c:w val="0.57027270508426187"/>
          <c:h val="0.99250850068685703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87-4B4B-866B-0DE05FB2595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87-4B4B-866B-0DE05FB2595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87-4B4B-866B-0DE05FB2595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887-4B4B-866B-0DE05FB2595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887-4B4B-866B-0DE05FB2595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887-4B4B-866B-0DE05FB2595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887-4B4B-866B-0DE05FB2595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887-4B4B-866B-0DE05FB2595E}"/>
              </c:ext>
            </c:extLst>
          </c:dPt>
          <c:dPt>
            <c:idx val="8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887-4B4B-866B-0DE05FB2595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887-4B4B-866B-0DE05FB2595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887-4B4B-866B-0DE05FB2595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887-4B4B-866B-0DE05FB2595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887-4B4B-866B-0DE05FB2595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F887-4B4B-866B-0DE05FB2595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F887-4B4B-866B-0DE05FB2595E}"/>
              </c:ext>
            </c:extLst>
          </c:dPt>
          <c:dPt>
            <c:idx val="15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F887-4B4B-866B-0DE05FB2595E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F887-4B4B-866B-0DE05FB2595E}"/>
              </c:ext>
            </c:extLst>
          </c:dPt>
          <c:dPt>
            <c:idx val="17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F887-4B4B-866B-0DE05FB2595E}"/>
              </c:ext>
            </c:extLst>
          </c:dPt>
          <c:dPt>
            <c:idx val="1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F887-4B4B-866B-0DE05FB2595E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F887-4B4B-866B-0DE05FB2595E}"/>
              </c:ext>
            </c:extLst>
          </c:dPt>
          <c:dPt>
            <c:idx val="20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F887-4B4B-866B-0DE05FB2595E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F887-4B4B-866B-0DE05FB2595E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F887-4B4B-866B-0DE05FB2595E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F887-4B4B-866B-0DE05FB2595E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F887-4B4B-866B-0DE05FB2595E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F887-4B4B-866B-0DE05FB2595E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F887-4B4B-866B-0DE05FB2595E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F887-4B4B-866B-0DE05FB2595E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F887-4B4B-866B-0DE05FB2595E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F887-4B4B-866B-0DE05FB2595E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F887-4B4B-866B-0DE05FB2595E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F887-4B4B-866B-0DE05FB2595E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F887-4B4B-866B-0DE05FB2595E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F887-4B4B-866B-0DE05FB2595E}"/>
              </c:ext>
            </c:extLst>
          </c:dPt>
          <c:cat>
            <c:strRef>
              <c:f>Sheet2!$A$55:$A$88</c:f>
              <c:strCache>
                <c:ptCount val="34"/>
                <c:pt idx="0">
                  <c:v>Australia</c:v>
                </c:pt>
                <c:pt idx="1">
                  <c:v>Bangladesh</c:v>
                </c:pt>
                <c:pt idx="2">
                  <c:v>Chile</c:v>
                </c:pt>
                <c:pt idx="3">
                  <c:v>Mauritius</c:v>
                </c:pt>
                <c:pt idx="4">
                  <c:v>Mozambique</c:v>
                </c:pt>
                <c:pt idx="5">
                  <c:v>India</c:v>
                </c:pt>
                <c:pt idx="6">
                  <c:v>Maldives</c:v>
                </c:pt>
                <c:pt idx="7">
                  <c:v>China</c:v>
                </c:pt>
                <c:pt idx="8">
                  <c:v>Peru</c:v>
                </c:pt>
                <c:pt idx="9">
                  <c:v>Myanmar</c:v>
                </c:pt>
                <c:pt idx="10">
                  <c:v>Brunei</c:v>
                </c:pt>
                <c:pt idx="11">
                  <c:v>Taiwan</c:v>
                </c:pt>
                <c:pt idx="12">
                  <c:v>Burma</c:v>
                </c:pt>
                <c:pt idx="13">
                  <c:v>New Zealand</c:v>
                </c:pt>
                <c:pt idx="14">
                  <c:v>Singapore</c:v>
                </c:pt>
                <c:pt idx="15">
                  <c:v>USA</c:v>
                </c:pt>
                <c:pt idx="16">
                  <c:v>Hongkong</c:v>
                </c:pt>
                <c:pt idx="17">
                  <c:v>South Africa</c:v>
                </c:pt>
                <c:pt idx="18">
                  <c:v>Malta</c:v>
                </c:pt>
                <c:pt idx="19">
                  <c:v>Timor Leste</c:v>
                </c:pt>
                <c:pt idx="20">
                  <c:v>Yaman</c:v>
                </c:pt>
                <c:pt idx="21">
                  <c:v>Samoa</c:v>
                </c:pt>
                <c:pt idx="22">
                  <c:v>Tahiti</c:v>
                </c:pt>
                <c:pt idx="23">
                  <c:v>Vietnam</c:v>
                </c:pt>
                <c:pt idx="24">
                  <c:v>UEA</c:v>
                </c:pt>
                <c:pt idx="25">
                  <c:v>Comoro</c:v>
                </c:pt>
                <c:pt idx="26">
                  <c:v>Papua New Guinea</c:v>
                </c:pt>
                <c:pt idx="27">
                  <c:v>Chrismast Island</c:v>
                </c:pt>
                <c:pt idx="28">
                  <c:v> Australia</c:v>
                </c:pt>
                <c:pt idx="29">
                  <c:v> Guinea</c:v>
                </c:pt>
                <c:pt idx="30">
                  <c:v> Honiara</c:v>
                </c:pt>
                <c:pt idx="31">
                  <c:v> Kuwait</c:v>
                </c:pt>
                <c:pt idx="32">
                  <c:v> Madagascar</c:v>
                </c:pt>
                <c:pt idx="33">
                  <c:v> Malaysia</c:v>
                </c:pt>
              </c:strCache>
            </c:strRef>
          </c:cat>
          <c:val>
            <c:numRef>
              <c:f>Sheet2!$D$55:$D$88</c:f>
              <c:numCache>
                <c:formatCode>General</c:formatCode>
                <c:ptCount val="34"/>
                <c:pt idx="0">
                  <c:v>164005</c:v>
                </c:pt>
                <c:pt idx="1">
                  <c:v>140550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47136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F887-4B4B-866B-0DE05FB25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869876376399353"/>
          <c:y val="0.1859853612591218"/>
          <c:w val="0.47126387148917509"/>
          <c:h val="0.78791889596551246"/>
        </c:manualLayout>
      </c:layout>
      <c:doughnutChart>
        <c:varyColors val="1"/>
        <c:ser>
          <c:idx val="0"/>
          <c:order val="0"/>
          <c:tx>
            <c:strRef>
              <c:f>Sheet2!$X$34</c:f>
              <c:strCache>
                <c:ptCount val="1"/>
                <c:pt idx="0">
                  <c:v>PT SBI</c:v>
                </c:pt>
              </c:strCache>
            </c:strRef>
          </c:tx>
          <c:dPt>
            <c:idx val="0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04E-4E61-8DF9-75FDF9EA484A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04E-4E61-8DF9-75FDF9EA484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chemeClr val="lt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704E-4E61-8DF9-75FDF9EA484A}"/>
                </c:ext>
              </c:extLst>
            </c:dLbl>
            <c:dLbl>
              <c:idx val="1"/>
              <c:layout>
                <c:manualLayout>
                  <c:x val="1.0662708311119358E-2"/>
                  <c:y val="-1.5006151432220157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700000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4E-4E61-8DF9-75FDF9EA48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Sheet2!$W$35:$W$36</c:f>
              <c:strCache>
                <c:ptCount val="2"/>
                <c:pt idx="0">
                  <c:v>Clinker</c:v>
                </c:pt>
                <c:pt idx="1">
                  <c:v>Cement</c:v>
                </c:pt>
              </c:strCache>
            </c:strRef>
          </c:cat>
          <c:val>
            <c:numRef>
              <c:f>Sheet2!$X$35:$X$36</c:f>
              <c:numCache>
                <c:formatCode>General</c:formatCode>
                <c:ptCount val="2"/>
                <c:pt idx="0">
                  <c:v>230737.34600000002</c:v>
                </c:pt>
                <c:pt idx="1">
                  <c:v>198167.56400000001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4E-4E61-8DF9-75FDF9EA484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8056997097768221"/>
          <c:y val="0.79069714088026843"/>
          <c:w val="0.21692300054519645"/>
          <c:h val="0.16305440111433292"/>
        </c:manualLayout>
      </c:layout>
      <c:overlay val="0"/>
      <c:spPr>
        <a:solidFill>
          <a:srgbClr val="E1766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chart" Target="../charts/chart2.xml"/><Relationship Id="rId18" Type="http://schemas.openxmlformats.org/officeDocument/2006/relationships/chart" Target="../charts/chart7.xml"/><Relationship Id="rId3" Type="http://schemas.microsoft.com/office/2007/relationships/hdphoto" Target="../media/hdphoto1.wdp"/><Relationship Id="rId7" Type="http://schemas.openxmlformats.org/officeDocument/2006/relationships/image" Target="../media/image9.jpeg"/><Relationship Id="rId12" Type="http://schemas.openxmlformats.org/officeDocument/2006/relationships/chart" Target="../charts/chart1.xml"/><Relationship Id="rId17" Type="http://schemas.openxmlformats.org/officeDocument/2006/relationships/chart" Target="../charts/chart6.xml"/><Relationship Id="rId2" Type="http://schemas.openxmlformats.org/officeDocument/2006/relationships/image" Target="../media/image5.png"/><Relationship Id="rId16" Type="http://schemas.openxmlformats.org/officeDocument/2006/relationships/chart" Target="../charts/chart5.xml"/><Relationship Id="rId1" Type="http://schemas.openxmlformats.org/officeDocument/2006/relationships/image" Target="../media/image4.png"/><Relationship Id="rId6" Type="http://schemas.openxmlformats.org/officeDocument/2006/relationships/image" Target="../media/image8.jpeg"/><Relationship Id="rId11" Type="http://schemas.microsoft.com/office/2007/relationships/hdphoto" Target="../media/hdphoto3.wdp"/><Relationship Id="rId5" Type="http://schemas.openxmlformats.org/officeDocument/2006/relationships/image" Target="../media/image7.png"/><Relationship Id="rId15" Type="http://schemas.openxmlformats.org/officeDocument/2006/relationships/chart" Target="../charts/chart4.xml"/><Relationship Id="rId10" Type="http://schemas.openxmlformats.org/officeDocument/2006/relationships/image" Target="../media/image11.png"/><Relationship Id="rId4" Type="http://schemas.openxmlformats.org/officeDocument/2006/relationships/image" Target="../media/image6.png"/><Relationship Id="rId9" Type="http://schemas.microsoft.com/office/2007/relationships/hdphoto" Target="../media/hdphoto2.wdp"/><Relationship Id="rId1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510668</xdr:colOff>
      <xdr:row>0</xdr:row>
      <xdr:rowOff>104179</xdr:rowOff>
    </xdr:from>
    <xdr:to>
      <xdr:col>29</xdr:col>
      <xdr:colOff>210096</xdr:colOff>
      <xdr:row>22</xdr:row>
      <xdr:rowOff>14653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975962" y="104179"/>
          <a:ext cx="15107516" cy="4019298"/>
        </a:xfrm>
        <a:prstGeom prst="roundRect">
          <a:avLst/>
        </a:prstGeom>
        <a:solidFill>
          <a:srgbClr val="A40000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A6A6A6"/>
            </a:solidFill>
          </a:endParaRPr>
        </a:p>
      </xdr:txBody>
    </xdr:sp>
    <xdr:clientData/>
  </xdr:twoCellAnchor>
  <xdr:twoCellAnchor>
    <xdr:from>
      <xdr:col>0</xdr:col>
      <xdr:colOff>28574</xdr:colOff>
      <xdr:row>0</xdr:row>
      <xdr:rowOff>0</xdr:rowOff>
    </xdr:from>
    <xdr:to>
      <xdr:col>4</xdr:col>
      <xdr:colOff>348017</xdr:colOff>
      <xdr:row>48</xdr:row>
      <xdr:rowOff>99515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8574" y="0"/>
          <a:ext cx="2781289" cy="9243515"/>
        </a:xfrm>
        <a:prstGeom prst="rect">
          <a:avLst/>
        </a:prstGeom>
        <a:solidFill>
          <a:srgbClr val="A4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A6A6A6"/>
            </a:solidFill>
          </a:endParaRPr>
        </a:p>
      </xdr:txBody>
    </xdr:sp>
    <xdr:clientData/>
  </xdr:twoCellAnchor>
  <xdr:twoCellAnchor>
    <xdr:from>
      <xdr:col>16</xdr:col>
      <xdr:colOff>97194</xdr:colOff>
      <xdr:row>1</xdr:row>
      <xdr:rowOff>48581</xdr:rowOff>
    </xdr:from>
    <xdr:to>
      <xdr:col>28</xdr:col>
      <xdr:colOff>191033</xdr:colOff>
      <xdr:row>4</xdr:row>
      <xdr:rowOff>80437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0257194" y="239081"/>
          <a:ext cx="7713839" cy="603356"/>
          <a:chOff x="1551826" y="118793"/>
          <a:chExt cx="10841375" cy="567882"/>
        </a:xfrm>
        <a:solidFill>
          <a:srgbClr val="E36157"/>
        </a:solidFill>
      </xdr:grpSpPr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1718959" y="128029"/>
            <a:ext cx="674242" cy="558646"/>
          </a:xfrm>
          <a:prstGeom prst="ellipse">
            <a:avLst/>
          </a:prstGeom>
          <a:grpFill/>
          <a:ln>
            <a:solidFill>
              <a:srgbClr val="A4000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A6A6A6"/>
              </a:solidFill>
            </a:endParaRPr>
          </a:p>
        </xdr:txBody>
      </xdr:sp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1551826" y="118793"/>
            <a:ext cx="10594262" cy="567220"/>
            <a:chOff x="1551826" y="118793"/>
            <a:chExt cx="10594262" cy="567220"/>
          </a:xfrm>
          <a:grpFill/>
        </xdr:grpSpPr>
        <xdr:sp macro="" textlink="">
          <xdr:nvSpPr>
            <xdr:cNvPr id="4" name="Ova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1551826" y="118793"/>
              <a:ext cx="577921" cy="567220"/>
            </a:xfrm>
            <a:prstGeom prst="ellipse">
              <a:avLst/>
            </a:prstGeom>
            <a:grpFill/>
            <a:ln>
              <a:solidFill>
                <a:srgbClr val="A40000"/>
              </a:solidFill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rgbClr val="A6A6A6"/>
                </a:solidFill>
              </a:endParaRPr>
            </a:p>
          </xdr:txBody>
        </xdr:sp>
        <xdr:sp macro="" textlink="">
          <xdr:nvSpPr>
            <xdr:cNvPr id="3" name="Rectangl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>
              <a:off x="1785135" y="132172"/>
              <a:ext cx="10360953" cy="552772"/>
            </a:xfrm>
            <a:prstGeom prst="rect">
              <a:avLst/>
            </a:prstGeom>
            <a:grpFill/>
            <a:ln>
              <a:solidFill>
                <a:srgbClr val="A40000"/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rgbClr val="A6A6A6"/>
                </a:solidFill>
              </a:endParaRPr>
            </a:p>
          </xdr:txBody>
        </xdr:sp>
      </xdr:grpSp>
    </xdr:grpSp>
    <xdr:clientData/>
  </xdr:twoCellAnchor>
  <xdr:twoCellAnchor editAs="oneCell">
    <xdr:from>
      <xdr:col>2</xdr:col>
      <xdr:colOff>180976</xdr:colOff>
      <xdr:row>2</xdr:row>
      <xdr:rowOff>95251</xdr:rowOff>
    </xdr:from>
    <xdr:to>
      <xdr:col>3</xdr:col>
      <xdr:colOff>152400</xdr:colOff>
      <xdr:row>5</xdr:row>
      <xdr:rowOff>104775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0176" y="476251"/>
          <a:ext cx="581024" cy="581024"/>
        </a:xfrm>
        <a:prstGeom prst="rect">
          <a:avLst/>
        </a:prstGeom>
      </xdr:spPr>
    </xdr:pic>
    <xdr:clientData/>
  </xdr:twoCellAnchor>
  <xdr:twoCellAnchor editAs="oneCell">
    <xdr:from>
      <xdr:col>3</xdr:col>
      <xdr:colOff>161925</xdr:colOff>
      <xdr:row>2</xdr:row>
      <xdr:rowOff>57151</xdr:rowOff>
    </xdr:from>
    <xdr:to>
      <xdr:col>4</xdr:col>
      <xdr:colOff>152400</xdr:colOff>
      <xdr:row>5</xdr:row>
      <xdr:rowOff>149371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425" b="91781" l="9091" r="89394">
                      <a14:foregroundMark x1="39394" y1="91781" x2="77273" y2="91096"/>
                      <a14:foregroundMark x1="52273" y1="9589" x2="52273" y2="9589"/>
                      <a14:foregroundMark x1="53788" y1="3425" x2="53788" y2="34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0725" y="438151"/>
          <a:ext cx="600075" cy="663720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1</xdr:row>
      <xdr:rowOff>152401</xdr:rowOff>
    </xdr:from>
    <xdr:to>
      <xdr:col>2</xdr:col>
      <xdr:colOff>114300</xdr:colOff>
      <xdr:row>6</xdr:row>
      <xdr:rowOff>38101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624" t="13913" r="20369" b="9565"/>
        <a:stretch/>
      </xdr:blipFill>
      <xdr:spPr>
        <a:xfrm>
          <a:off x="352425" y="342901"/>
          <a:ext cx="981075" cy="8382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28575</xdr:rowOff>
    </xdr:from>
    <xdr:to>
      <xdr:col>4</xdr:col>
      <xdr:colOff>123825</xdr:colOff>
      <xdr:row>6</xdr:row>
      <xdr:rowOff>28575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304800" y="1171575"/>
          <a:ext cx="2257425" cy="0"/>
        </a:xfrm>
        <a:prstGeom prst="line">
          <a:avLst/>
        </a:prstGeom>
        <a:ln w="12700">
          <a:solidFill>
            <a:srgbClr val="FF0000"/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8</xdr:row>
      <xdr:rowOff>28575</xdr:rowOff>
    </xdr:from>
    <xdr:to>
      <xdr:col>4</xdr:col>
      <xdr:colOff>209550</xdr:colOff>
      <xdr:row>9</xdr:row>
      <xdr:rowOff>152400</xdr:rowOff>
    </xdr:to>
    <xdr:sp macro="" textlink="">
      <xdr:nvSpPr>
        <xdr:cNvPr id="21" name="Flowchart: Alternate Process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09550" y="1552575"/>
          <a:ext cx="2438400" cy="314325"/>
        </a:xfrm>
        <a:prstGeom prst="flowChartAlternateProcess">
          <a:avLst/>
        </a:prstGeom>
        <a:solidFill>
          <a:srgbClr val="E36157"/>
        </a:solidFill>
        <a:ln>
          <a:solidFill>
            <a:srgbClr val="E36157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700000"/>
              </a:solidFill>
              <a:latin typeface="Arial Rounded MT Bold" panose="020F0704030504030204" pitchFamily="34" charset="0"/>
            </a:rPr>
            <a:t>Product</a:t>
          </a:r>
        </a:p>
      </xdr:txBody>
    </xdr:sp>
    <xdr:clientData/>
  </xdr:twoCellAnchor>
  <xdr:twoCellAnchor>
    <xdr:from>
      <xdr:col>0</xdr:col>
      <xdr:colOff>180975</xdr:colOff>
      <xdr:row>16</xdr:row>
      <xdr:rowOff>106973</xdr:rowOff>
    </xdr:from>
    <xdr:to>
      <xdr:col>4</xdr:col>
      <xdr:colOff>180975</xdr:colOff>
      <xdr:row>18</xdr:row>
      <xdr:rowOff>40298</xdr:rowOff>
    </xdr:to>
    <xdr:sp macro="" textlink="">
      <xdr:nvSpPr>
        <xdr:cNvPr id="22" name="Flowchart: Alternate Process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80975" y="3154973"/>
          <a:ext cx="2461846" cy="314325"/>
        </a:xfrm>
        <a:prstGeom prst="flowChartAlternateProcess">
          <a:avLst/>
        </a:prstGeom>
        <a:solidFill>
          <a:srgbClr val="E36157"/>
        </a:solidFill>
        <a:ln>
          <a:solidFill>
            <a:srgbClr val="E36157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700000"/>
              </a:solidFill>
              <a:latin typeface="Arial Rounded MT Bold" panose="020F0704030504030204" pitchFamily="34" charset="0"/>
            </a:rPr>
            <a:t>Ekspor SIG</a:t>
          </a:r>
        </a:p>
      </xdr:txBody>
    </xdr:sp>
    <xdr:clientData/>
  </xdr:twoCellAnchor>
  <xdr:twoCellAnchor>
    <xdr:from>
      <xdr:col>0</xdr:col>
      <xdr:colOff>285750</xdr:colOff>
      <xdr:row>12</xdr:row>
      <xdr:rowOff>45427</xdr:rowOff>
    </xdr:from>
    <xdr:to>
      <xdr:col>4</xdr:col>
      <xdr:colOff>171450</xdr:colOff>
      <xdr:row>13</xdr:row>
      <xdr:rowOff>140677</xdr:rowOff>
    </xdr:to>
    <xdr:sp macro="[0]!Module3.Clinker" textlink="">
      <xdr:nvSpPr>
        <xdr:cNvPr id="23" name="CLINKER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285750" y="2331427"/>
          <a:ext cx="2347546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A6A6A6"/>
              </a:solidFill>
              <a:latin typeface="Arial" panose="020B0604020202020204" pitchFamily="34" charset="0"/>
              <a:cs typeface="Arial" panose="020B0604020202020204" pitchFamily="34" charset="0"/>
            </a:rPr>
            <a:t>Clinker</a:t>
          </a:r>
        </a:p>
      </xdr:txBody>
    </xdr:sp>
    <xdr:clientData/>
  </xdr:twoCellAnchor>
  <xdr:twoCellAnchor>
    <xdr:from>
      <xdr:col>0</xdr:col>
      <xdr:colOff>271096</xdr:colOff>
      <xdr:row>10</xdr:row>
      <xdr:rowOff>57150</xdr:rowOff>
    </xdr:from>
    <xdr:to>
      <xdr:col>4</xdr:col>
      <xdr:colOff>156796</xdr:colOff>
      <xdr:row>11</xdr:row>
      <xdr:rowOff>152400</xdr:rowOff>
    </xdr:to>
    <xdr:sp macro="[0]!Nasional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271096" y="1962150"/>
          <a:ext cx="2347546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E9967A"/>
              </a:solidFill>
              <a:latin typeface="Arial" panose="020B0604020202020204" pitchFamily="34" charset="0"/>
              <a:cs typeface="Arial" panose="020B0604020202020204" pitchFamily="34" charset="0"/>
            </a:rPr>
            <a:t>Nasional</a:t>
          </a:r>
        </a:p>
      </xdr:txBody>
    </xdr:sp>
    <xdr:clientData/>
  </xdr:twoCellAnchor>
  <xdr:twoCellAnchor>
    <xdr:from>
      <xdr:col>0</xdr:col>
      <xdr:colOff>476494</xdr:colOff>
      <xdr:row>22</xdr:row>
      <xdr:rowOff>112102</xdr:rowOff>
    </xdr:from>
    <xdr:to>
      <xdr:col>1</xdr:col>
      <xdr:colOff>601205</xdr:colOff>
      <xdr:row>24</xdr:row>
      <xdr:rowOff>16852</xdr:rowOff>
    </xdr:to>
    <xdr:sp macro="[0]!Module3.SP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476494" y="4303102"/>
          <a:ext cx="727961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A6A6A6"/>
              </a:solidFill>
              <a:latin typeface="Arial" panose="020B0604020202020204" pitchFamily="34" charset="0"/>
              <a:cs typeface="Arial" panose="020B0604020202020204" pitchFamily="34" charset="0"/>
            </a:rPr>
            <a:t>PT SP</a:t>
          </a:r>
        </a:p>
      </xdr:txBody>
    </xdr:sp>
    <xdr:clientData/>
  </xdr:twoCellAnchor>
  <xdr:twoCellAnchor>
    <xdr:from>
      <xdr:col>0</xdr:col>
      <xdr:colOff>382318</xdr:colOff>
      <xdr:row>28</xdr:row>
      <xdr:rowOff>177198</xdr:rowOff>
    </xdr:from>
    <xdr:to>
      <xdr:col>2</xdr:col>
      <xdr:colOff>161249</xdr:colOff>
      <xdr:row>30</xdr:row>
      <xdr:rowOff>84162</xdr:rowOff>
    </xdr:to>
    <xdr:sp macro="[0]!SBI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382318" y="5511198"/>
          <a:ext cx="985431" cy="2879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rgbClr val="E9967A"/>
              </a:solidFill>
              <a:latin typeface="Arial" panose="020B0604020202020204" pitchFamily="34" charset="0"/>
              <a:cs typeface="Arial" panose="020B0604020202020204" pitchFamily="34" charset="0"/>
            </a:rPr>
            <a:t>PT SBI</a:t>
          </a:r>
        </a:p>
      </xdr:txBody>
    </xdr:sp>
    <xdr:clientData/>
  </xdr:twoCellAnchor>
  <xdr:twoCellAnchor>
    <xdr:from>
      <xdr:col>2</xdr:col>
      <xdr:colOff>262304</xdr:colOff>
      <xdr:row>28</xdr:row>
      <xdr:rowOff>181219</xdr:rowOff>
    </xdr:from>
    <xdr:to>
      <xdr:col>3</xdr:col>
      <xdr:colOff>415590</xdr:colOff>
      <xdr:row>30</xdr:row>
      <xdr:rowOff>85969</xdr:rowOff>
    </xdr:to>
    <xdr:sp macro="[0]!SG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1468804" y="5515219"/>
          <a:ext cx="756536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rgbClr val="A6A6A6"/>
              </a:solidFill>
              <a:latin typeface="Arial" panose="020B0604020202020204" pitchFamily="34" charset="0"/>
              <a:cs typeface="Arial" panose="020B0604020202020204" pitchFamily="34" charset="0"/>
            </a:rPr>
            <a:t>PT SG</a:t>
          </a:r>
        </a:p>
      </xdr:txBody>
    </xdr:sp>
    <xdr:clientData/>
  </xdr:twoCellAnchor>
  <xdr:twoCellAnchor>
    <xdr:from>
      <xdr:col>2</xdr:col>
      <xdr:colOff>217047</xdr:colOff>
      <xdr:row>22</xdr:row>
      <xdr:rowOff>122815</xdr:rowOff>
    </xdr:from>
    <xdr:to>
      <xdr:col>3</xdr:col>
      <xdr:colOff>525022</xdr:colOff>
      <xdr:row>24</xdr:row>
      <xdr:rowOff>25351</xdr:rowOff>
    </xdr:to>
    <xdr:sp macro="[0]!ST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1423547" y="4313815"/>
          <a:ext cx="911225" cy="2835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rgbClr val="A6A6A6"/>
              </a:solidFill>
              <a:latin typeface="Arial" panose="020B0604020202020204" pitchFamily="34" charset="0"/>
              <a:cs typeface="Arial" panose="020B0604020202020204" pitchFamily="34" charset="0"/>
            </a:rPr>
            <a:t>PT</a:t>
          </a:r>
          <a:r>
            <a:rPr lang="en-US" sz="1400" baseline="0">
              <a:solidFill>
                <a:srgbClr val="A6A6A6"/>
              </a:solidFill>
              <a:latin typeface="Arial" panose="020B0604020202020204" pitchFamily="34" charset="0"/>
              <a:cs typeface="Arial" panose="020B0604020202020204" pitchFamily="34" charset="0"/>
            </a:rPr>
            <a:t> ST</a:t>
          </a:r>
          <a:endParaRPr lang="en-US" sz="1400">
            <a:solidFill>
              <a:srgbClr val="A6A6A6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476031</xdr:colOff>
      <xdr:row>19</xdr:row>
      <xdr:rowOff>16597</xdr:rowOff>
    </xdr:from>
    <xdr:to>
      <xdr:col>1</xdr:col>
      <xdr:colOff>598005</xdr:colOff>
      <xdr:row>23</xdr:row>
      <xdr:rowOff>7072</xdr:rowOff>
    </xdr:to>
    <xdr:pic macro="[0]!Module3.SP"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031" y="3636097"/>
          <a:ext cx="725224" cy="752475"/>
        </a:xfrm>
        <a:prstGeom prst="ellipse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112500"/>
        </a:effectLst>
      </xdr:spPr>
    </xdr:pic>
    <xdr:clientData/>
  </xdr:twoCellAnchor>
  <xdr:twoCellAnchor editAs="oneCell">
    <xdr:from>
      <xdr:col>2</xdr:col>
      <xdr:colOff>255222</xdr:colOff>
      <xdr:row>25</xdr:row>
      <xdr:rowOff>45733</xdr:rowOff>
    </xdr:from>
    <xdr:to>
      <xdr:col>3</xdr:col>
      <xdr:colOff>406909</xdr:colOff>
      <xdr:row>29</xdr:row>
      <xdr:rowOff>37315</xdr:rowOff>
    </xdr:to>
    <xdr:pic macro="[0]!SG">
      <xdr:nvPicPr>
        <xdr:cNvPr id="36" name="Pictur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722" y="4808233"/>
          <a:ext cx="754937" cy="753582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twoCellAnchor>
  <xdr:twoCellAnchor editAs="oneCell">
    <xdr:from>
      <xdr:col>2</xdr:col>
      <xdr:colOff>225425</xdr:colOff>
      <xdr:row>19</xdr:row>
      <xdr:rowOff>20407</xdr:rowOff>
    </xdr:from>
    <xdr:to>
      <xdr:col>3</xdr:col>
      <xdr:colOff>358775</xdr:colOff>
      <xdr:row>22</xdr:row>
      <xdr:rowOff>182332</xdr:rowOff>
    </xdr:to>
    <xdr:pic macro="[0]!ST">
      <xdr:nvPicPr>
        <xdr:cNvPr id="38" name="Pictur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1925" y="3639907"/>
          <a:ext cx="736600" cy="733425"/>
        </a:xfrm>
        <a:prstGeom prst="ellipse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11250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2</xdr:row>
          <xdr:rowOff>57150</xdr:rowOff>
        </xdr:from>
        <xdr:to>
          <xdr:col>22</xdr:col>
          <xdr:colOff>95250</xdr:colOff>
          <xdr:row>3</xdr:row>
          <xdr:rowOff>146050</xdr:rowOff>
        </xdr:to>
        <xdr:sp macro="" textlink="">
          <xdr:nvSpPr>
            <xdr:cNvPr id="1026" name="cmbtahu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447065</xdr:colOff>
      <xdr:row>25</xdr:row>
      <xdr:rowOff>97498</xdr:rowOff>
    </xdr:from>
    <xdr:to>
      <xdr:col>1</xdr:col>
      <xdr:colOff>515282</xdr:colOff>
      <xdr:row>28</xdr:row>
      <xdr:rowOff>127610</xdr:rowOff>
    </xdr:to>
    <xdr:pic macro="[0]!SBI"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1702" t="22339" r="17022" b="8511"/>
        <a:stretch/>
      </xdr:blipFill>
      <xdr:spPr>
        <a:xfrm>
          <a:off x="447065" y="4859998"/>
          <a:ext cx="671467" cy="601612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</xdr:pic>
    <xdr:clientData/>
  </xdr:twoCellAnchor>
  <xdr:twoCellAnchor editAs="oneCell">
    <xdr:from>
      <xdr:col>0</xdr:col>
      <xdr:colOff>0</xdr:colOff>
      <xdr:row>31</xdr:row>
      <xdr:rowOff>163940</xdr:rowOff>
    </xdr:from>
    <xdr:to>
      <xdr:col>4</xdr:col>
      <xdr:colOff>302375</xdr:colOff>
      <xdr:row>50</xdr:row>
      <xdr:rowOff>85016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ackgroundRemoval t="9719" b="89770" l="5882" r="95752">
                      <a14:foregroundMark x1="37582" y1="52941" x2="45098" y2="66752"/>
                      <a14:foregroundMark x1="45098" y1="66752" x2="56536" y2="62660"/>
                      <a14:foregroundMark x1="50654" y1="60614" x2="72222" y2="59079"/>
                      <a14:foregroundMark x1="72222" y1="59079" x2="87582" y2="73913"/>
                      <a14:foregroundMark x1="87582" y1="73913" x2="90196" y2="57033"/>
                      <a14:foregroundMark x1="91176" y1="72634" x2="94118" y2="72634"/>
                      <a14:foregroundMark x1="33333" y1="48849" x2="32680" y2="47570"/>
                      <a14:foregroundMark x1="32680" y1="52941" x2="40523" y2="52941"/>
                      <a14:foregroundMark x1="35948" y1="48849" x2="35948" y2="51918"/>
                      <a14:foregroundMark x1="34314" y1="53453" x2="32680" y2="45524"/>
                      <a14:foregroundMark x1="29739" y1="28133" x2="30065" y2="27110"/>
                      <a14:foregroundMark x1="35948" y1="25064" x2="34314" y2="22506"/>
                      <a14:foregroundMark x1="29739" y1="25831" x2="28431" y2="23785"/>
                      <a14:foregroundMark x1="35294" y1="24297" x2="33660" y2="23529"/>
                      <a14:foregroundMark x1="33660" y1="23529" x2="34641" y2="23529"/>
                      <a14:foregroundMark x1="33007" y1="22251" x2="33007" y2="22251"/>
                      <a14:foregroundMark x1="93137" y1="47059" x2="95752" y2="47315"/>
                      <a14:foregroundMark x1="81699" y1="40153" x2="84641" y2="40409"/>
                      <a14:foregroundMark x1="41503" y1="30435" x2="44771" y2="32992"/>
                      <a14:foregroundMark x1="12092" y1="52174" x2="17974" y2="45013"/>
                      <a14:foregroundMark x1="13072" y1="54731" x2="16013" y2="51662"/>
                      <a14:foregroundMark x1="13072" y1="48849" x2="20915" y2="45013"/>
                      <a14:foregroundMark x1="18301" y1="42455" x2="19281" y2="47826"/>
                      <a14:foregroundMark x1="13072" y1="46547" x2="14052" y2="46292"/>
                      <a14:foregroundMark x1="12092" y1="47570" x2="16193" y2="40409"/>
                      <a14:foregroundMark x1="9480" y1="45400" x2="9150" y2="45780"/>
                      <a14:foregroundMark x1="11846" y1="44796" x2="5882" y2="52174"/>
                      <a14:foregroundMark x1="5882" y1="52174" x2="9804" y2="55243"/>
                      <a14:foregroundMark x1="18954" y1="40153" x2="10458" y2="43223"/>
                      <a14:foregroundMark x1="16340" y1="39898" x2="16233" y2="40001"/>
                      <a14:foregroundMark x1="14706" y1="38107" x2="14706" y2="38107"/>
                      <a14:foregroundMark x1="16013" y1="38619" x2="22876" y2="41688"/>
                      <a14:foregroundMark x1="16667" y1="38107" x2="16667" y2="38107"/>
                      <a14:foregroundMark x1="18627" y1="38619" x2="18627" y2="38619"/>
                      <a14:foregroundMark x1="8824" y1="45013" x2="8824" y2="45013"/>
                      <a14:foregroundMark x1="9477" y1="44246" x2="9477" y2="44246"/>
                      <a14:foregroundMark x1="8497" y1="46547" x2="8497" y2="46547"/>
                      <a14:foregroundMark x1="14052" y1="39898" x2="12092" y2="44501"/>
                      <a14:foregroundMark x1="14052" y1="39898" x2="12092" y2="44246"/>
                      <a14:foregroundMark x1="15033" y1="38619" x2="12418" y2="42455"/>
                      <a14:foregroundMark x1="13399" y1="38363" x2="10784" y2="42455"/>
                      <a14:foregroundMark x1="36601" y1="26598" x2="35948" y2="25575"/>
                      <a14:foregroundMark x1="45589" y1="28389" x2="45098" y2="27621"/>
                      <a14:foregroundMark x1="47386" y1="31202" x2="45589" y2="28389"/>
                      <a14:backgroundMark x1="12416" y1="37616" x2="12745" y2="37084"/>
                      <a14:backgroundMark x1="8317" y1="44246" x2="8689" y2="43644"/>
                      <a14:backgroundMark x1="7843" y1="45013" x2="8317" y2="44246"/>
                      <a14:backgroundMark x1="16340" y1="37596" x2="16340" y2="37596"/>
                      <a14:backgroundMark x1="17320" y1="38363" x2="17320" y2="38363"/>
                      <a14:backgroundMark x1="18954" y1="38619" x2="18954" y2="38619"/>
                      <a14:backgroundMark x1="18301" y1="38619" x2="18301" y2="38619"/>
                      <a14:backgroundMark x1="16993" y1="37596" x2="16993" y2="37596"/>
                      <a14:backgroundMark x1="16340" y1="38107" x2="16340" y2="38107"/>
                      <a14:backgroundMark x1="52614" y1="28389" x2="52614" y2="28389"/>
                      <a14:backgroundMark x1="50654" y1="28389" x2="50654" y2="2838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69440"/>
          <a:ext cx="2764221" cy="3540576"/>
        </a:xfrm>
        <a:prstGeom prst="rect">
          <a:avLst/>
        </a:prstGeom>
      </xdr:spPr>
    </xdr:pic>
    <xdr:clientData/>
  </xdr:twoCellAnchor>
  <xdr:twoCellAnchor>
    <xdr:from>
      <xdr:col>29</xdr:col>
      <xdr:colOff>565717</xdr:colOff>
      <xdr:row>0</xdr:row>
      <xdr:rowOff>0</xdr:rowOff>
    </xdr:from>
    <xdr:to>
      <xdr:col>49</xdr:col>
      <xdr:colOff>240012</xdr:colOff>
      <xdr:row>51</xdr:row>
      <xdr:rowOff>73164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18041176" y="0"/>
          <a:ext cx="11726336" cy="9986940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A6A6A6"/>
            </a:solidFill>
          </a:endParaRPr>
        </a:p>
      </xdr:txBody>
    </xdr:sp>
    <xdr:clientData/>
  </xdr:twoCellAnchor>
  <xdr:twoCellAnchor>
    <xdr:from>
      <xdr:col>0</xdr:col>
      <xdr:colOff>209779</xdr:colOff>
      <xdr:row>32</xdr:row>
      <xdr:rowOff>51013</xdr:rowOff>
    </xdr:from>
    <xdr:to>
      <xdr:col>4</xdr:col>
      <xdr:colOff>209779</xdr:colOff>
      <xdr:row>33</xdr:row>
      <xdr:rowOff>171861</xdr:rowOff>
    </xdr:to>
    <xdr:sp macro="[0]!updatedata" textlink="">
      <xdr:nvSpPr>
        <xdr:cNvPr id="33" name="Flowchart: Alternate Process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209779" y="6147013"/>
          <a:ext cx="2461846" cy="311348"/>
        </a:xfrm>
        <a:prstGeom prst="flowChartAlternateProcess">
          <a:avLst/>
        </a:prstGeom>
        <a:solidFill>
          <a:srgbClr val="E36157"/>
        </a:solidFill>
        <a:ln>
          <a:solidFill>
            <a:srgbClr val="E36157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700000"/>
              </a:solidFill>
              <a:latin typeface="Arial Rounded MT Bold" panose="020F0704030504030204" pitchFamily="34" charset="0"/>
            </a:rPr>
            <a:t>Update</a:t>
          </a:r>
          <a:r>
            <a:rPr lang="en-US" sz="1100" baseline="0">
              <a:solidFill>
                <a:srgbClr val="700000"/>
              </a:solidFill>
              <a:latin typeface="Arial Rounded MT Bold" panose="020F0704030504030204" pitchFamily="34" charset="0"/>
            </a:rPr>
            <a:t> Data Ekspor</a:t>
          </a:r>
          <a:endParaRPr lang="en-US" sz="1100">
            <a:solidFill>
              <a:srgbClr val="70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20</xdr:col>
      <xdr:colOff>39331</xdr:colOff>
      <xdr:row>1</xdr:row>
      <xdr:rowOff>36565</xdr:rowOff>
    </xdr:from>
    <xdr:to>
      <xdr:col>22</xdr:col>
      <xdr:colOff>527633</xdr:colOff>
      <xdr:row>2</xdr:row>
      <xdr:rowOff>103240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12091372" y="230953"/>
          <a:ext cx="1693506" cy="261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i="0">
              <a:solidFill>
                <a:srgbClr val="700000"/>
              </a:solidFill>
              <a:latin typeface="Arial Rounded MT Bold" panose="020F0704030504030204" pitchFamily="34" charset="0"/>
            </a:rPr>
            <a:t>Tahun</a:t>
          </a:r>
        </a:p>
      </xdr:txBody>
    </xdr:sp>
    <xdr:clientData/>
  </xdr:twoCellAnchor>
  <xdr:twoCellAnchor>
    <xdr:from>
      <xdr:col>22</xdr:col>
      <xdr:colOff>500591</xdr:colOff>
      <xdr:row>1</xdr:row>
      <xdr:rowOff>73314</xdr:rowOff>
    </xdr:from>
    <xdr:to>
      <xdr:col>25</xdr:col>
      <xdr:colOff>386291</xdr:colOff>
      <xdr:row>2</xdr:row>
      <xdr:rowOff>139989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13835591" y="265738"/>
          <a:ext cx="1704109" cy="2590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i="0">
              <a:solidFill>
                <a:srgbClr val="700000"/>
              </a:solidFill>
              <a:latin typeface="Arial Rounded MT Bold" panose="020F0704030504030204" pitchFamily="34" charset="0"/>
            </a:rPr>
            <a:t>Today</a:t>
          </a:r>
        </a:p>
      </xdr:txBody>
    </xdr:sp>
    <xdr:clientData/>
  </xdr:twoCellAnchor>
  <xdr:twoCellAnchor>
    <xdr:from>
      <xdr:col>23</xdr:col>
      <xdr:colOff>384848</xdr:colOff>
      <xdr:row>2</xdr:row>
      <xdr:rowOff>27325</xdr:rowOff>
    </xdr:from>
    <xdr:to>
      <xdr:col>27</xdr:col>
      <xdr:colOff>335203</xdr:colOff>
      <xdr:row>3</xdr:row>
      <xdr:rowOff>125077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14989848" y="408325"/>
          <a:ext cx="2490355" cy="288252"/>
          <a:chOff x="13296514" y="1470506"/>
          <a:chExt cx="2374901" cy="290177"/>
        </a:xfrm>
        <a:solidFill>
          <a:schemeClr val="bg2">
            <a:lumMod val="75000"/>
          </a:schemeClr>
        </a:solidFill>
      </xdr:grpSpPr>
      <xdr:sp macro="" textlink="">
        <xdr:nvSpPr>
          <xdr:cNvPr id="17" name="Oval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13296514" y="1481667"/>
            <a:ext cx="307879" cy="279015"/>
          </a:xfrm>
          <a:prstGeom prst="ellips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bg1"/>
              </a:solidFill>
            </a:endParaRPr>
          </a:p>
        </xdr:txBody>
      </xdr:sp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15363536" y="1470506"/>
            <a:ext cx="307879" cy="290176"/>
          </a:xfrm>
          <a:prstGeom prst="ellips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bg1"/>
              </a:solidFill>
            </a:endParaRPr>
          </a:p>
        </xdr:txBody>
      </xdr:sp>
      <xdr:sp macro="" textlink="Sheet2!C1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3431212" y="1472047"/>
            <a:ext cx="2087803" cy="288636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9E6F18D3-211F-4415-AD44-88112D26A005}" type="TxLink">
              <a:rPr lang="en-US" sz="1200" b="1" i="0" u="none" strike="noStrike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/>
              <a:t>Date : 07 February 2024</a:t>
            </a:fld>
            <a:endPara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291612</xdr:colOff>
      <xdr:row>14</xdr:row>
      <xdr:rowOff>33704</xdr:rowOff>
    </xdr:from>
    <xdr:to>
      <xdr:col>4</xdr:col>
      <xdr:colOff>177312</xdr:colOff>
      <xdr:row>15</xdr:row>
      <xdr:rowOff>128954</xdr:rowOff>
    </xdr:to>
    <xdr:sp macro="[0]!Cement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1612" y="2700704"/>
          <a:ext cx="2347546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A6A6A6"/>
              </a:solidFill>
              <a:latin typeface="Arial" panose="020B0604020202020204" pitchFamily="34" charset="0"/>
              <a:cs typeface="Arial" panose="020B0604020202020204" pitchFamily="34" charset="0"/>
            </a:rPr>
            <a:t>Cement</a:t>
          </a:r>
        </a:p>
      </xdr:txBody>
    </xdr:sp>
    <xdr:clientData/>
  </xdr:twoCellAnchor>
  <xdr:twoCellAnchor>
    <xdr:from>
      <xdr:col>16</xdr:col>
      <xdr:colOff>196881</xdr:colOff>
      <xdr:row>23</xdr:row>
      <xdr:rowOff>38982</xdr:rowOff>
    </xdr:from>
    <xdr:to>
      <xdr:col>29</xdr:col>
      <xdr:colOff>364576</xdr:colOff>
      <xdr:row>51</xdr:row>
      <xdr:rowOff>146916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0058057" y="4334570"/>
          <a:ext cx="8179901" cy="5337346"/>
        </a:xfrm>
        <a:prstGeom prst="roundRect">
          <a:avLst/>
        </a:prstGeom>
        <a:solidFill>
          <a:srgbClr val="A40000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A6A6A6"/>
            </a:solidFill>
          </a:endParaRPr>
        </a:p>
      </xdr:txBody>
    </xdr:sp>
    <xdr:clientData/>
  </xdr:twoCellAnchor>
  <xdr:twoCellAnchor>
    <xdr:from>
      <xdr:col>4</xdr:col>
      <xdr:colOff>574332</xdr:colOff>
      <xdr:row>23</xdr:row>
      <xdr:rowOff>25747</xdr:rowOff>
    </xdr:from>
    <xdr:to>
      <xdr:col>15</xdr:col>
      <xdr:colOff>542001</xdr:colOff>
      <xdr:row>51</xdr:row>
      <xdr:rowOff>148962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998877" y="4672792"/>
          <a:ext cx="6635169" cy="5780488"/>
        </a:xfrm>
        <a:prstGeom prst="roundRect">
          <a:avLst/>
        </a:prstGeom>
        <a:solidFill>
          <a:srgbClr val="A40000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A6A6A6"/>
            </a:solidFill>
          </a:endParaRPr>
        </a:p>
      </xdr:txBody>
    </xdr:sp>
    <xdr:clientData/>
  </xdr:twoCellAnchor>
  <xdr:twoCellAnchor>
    <xdr:from>
      <xdr:col>5</xdr:col>
      <xdr:colOff>88160</xdr:colOff>
      <xdr:row>4</xdr:row>
      <xdr:rowOff>0</xdr:rowOff>
    </xdr:from>
    <xdr:to>
      <xdr:col>17</xdr:col>
      <xdr:colOff>30726</xdr:colOff>
      <xdr:row>20</xdr:row>
      <xdr:rowOff>146736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529221</xdr:colOff>
      <xdr:row>10</xdr:row>
      <xdr:rowOff>114992</xdr:rowOff>
    </xdr:from>
    <xdr:to>
      <xdr:col>42</xdr:col>
      <xdr:colOff>485588</xdr:colOff>
      <xdr:row>27</xdr:row>
      <xdr:rowOff>130868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22</xdr:col>
      <xdr:colOff>447793</xdr:colOff>
      <xdr:row>33</xdr:row>
      <xdr:rowOff>149413</xdr:rowOff>
    </xdr:from>
    <xdr:to>
      <xdr:col>29</xdr:col>
      <xdr:colOff>490668</xdr:colOff>
      <xdr:row>48</xdr:row>
      <xdr:rowOff>177317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16</xdr:col>
      <xdr:colOff>115057</xdr:colOff>
      <xdr:row>30</xdr:row>
      <xdr:rowOff>174881</xdr:rowOff>
    </xdr:from>
    <xdr:to>
      <xdr:col>25</xdr:col>
      <xdr:colOff>32478</xdr:colOff>
      <xdr:row>51</xdr:row>
      <xdr:rowOff>87441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524687</xdr:colOff>
      <xdr:row>30</xdr:row>
      <xdr:rowOff>95141</xdr:rowOff>
    </xdr:from>
    <xdr:to>
      <xdr:col>15</xdr:col>
      <xdr:colOff>544126</xdr:colOff>
      <xdr:row>41</xdr:row>
      <xdr:rowOff>137102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40</xdr:col>
      <xdr:colOff>372110</xdr:colOff>
      <xdr:row>32</xdr:row>
      <xdr:rowOff>33127</xdr:rowOff>
    </xdr:from>
    <xdr:to>
      <xdr:col>50</xdr:col>
      <xdr:colOff>411306</xdr:colOff>
      <xdr:row>50</xdr:row>
      <xdr:rowOff>147076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330459</xdr:colOff>
      <xdr:row>4</xdr:row>
      <xdr:rowOff>8838</xdr:rowOff>
    </xdr:from>
    <xdr:to>
      <xdr:col>28</xdr:col>
      <xdr:colOff>272143</xdr:colOff>
      <xdr:row>21</xdr:row>
      <xdr:rowOff>116634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171450</xdr:colOff>
          <xdr:row>2</xdr:row>
          <xdr:rowOff>38100</xdr:rowOff>
        </xdr:from>
        <xdr:to>
          <xdr:col>35</xdr:col>
          <xdr:colOff>127000</xdr:colOff>
          <xdr:row>3</xdr:row>
          <xdr:rowOff>146050</xdr:rowOff>
        </xdr:to>
        <xdr:sp macro="" textlink="">
          <xdr:nvSpPr>
            <xdr:cNvPr id="1025" name="cmbnegar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2</xdr:row>
          <xdr:rowOff>57150</xdr:rowOff>
        </xdr:from>
        <xdr:to>
          <xdr:col>19</xdr:col>
          <xdr:colOff>317500</xdr:colOff>
          <xdr:row>3</xdr:row>
          <xdr:rowOff>165100</xdr:rowOff>
        </xdr:to>
        <xdr:sp macro="" textlink="">
          <xdr:nvSpPr>
            <xdr:cNvPr id="1027" name="cmbp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32</xdr:col>
      <xdr:colOff>138064</xdr:colOff>
      <xdr:row>0</xdr:row>
      <xdr:rowOff>154748</xdr:rowOff>
    </xdr:from>
    <xdr:to>
      <xdr:col>35</xdr:col>
      <xdr:colOff>23764</xdr:colOff>
      <xdr:row>2</xdr:row>
      <xdr:rowOff>27036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19860417" y="154748"/>
          <a:ext cx="1734671" cy="2458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i="0">
              <a:solidFill>
                <a:srgbClr val="700000"/>
              </a:solidFill>
              <a:latin typeface="Arial Rounded MT Bold" panose="020F0704030504030204" pitchFamily="34" charset="0"/>
            </a:rPr>
            <a:t>Negara</a:t>
          </a:r>
          <a:r>
            <a:rPr lang="en-US" sz="1100" i="0" baseline="0">
              <a:solidFill>
                <a:srgbClr val="700000"/>
              </a:solidFill>
              <a:latin typeface="Arial Rounded MT Bold" panose="020F0704030504030204" pitchFamily="34" charset="0"/>
            </a:rPr>
            <a:t> Tujuan</a:t>
          </a:r>
          <a:endParaRPr lang="en-US" sz="1100" i="0">
            <a:solidFill>
              <a:srgbClr val="70000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5</xdr:col>
      <xdr:colOff>112056</xdr:colOff>
      <xdr:row>42</xdr:row>
      <xdr:rowOff>126068</xdr:rowOff>
    </xdr:from>
    <xdr:to>
      <xdr:col>15</xdr:col>
      <xdr:colOff>364190</xdr:colOff>
      <xdr:row>51</xdr:row>
      <xdr:rowOff>93688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3156933" y="7995904"/>
          <a:ext cx="6341888" cy="1654014"/>
        </a:xfrm>
        <a:prstGeom prst="roundRect">
          <a:avLst>
            <a:gd name="adj" fmla="val 36851"/>
          </a:avLst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Jenis Produk</a:t>
          </a:r>
        </a:p>
        <a:p>
          <a:pPr algn="l"/>
          <a:endParaRPr lang="en-U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2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Negara Tujuan</a:t>
          </a:r>
        </a:p>
        <a:p>
          <a:pPr algn="l"/>
          <a:endParaRPr lang="en-U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2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Tahun</a:t>
          </a:r>
        </a:p>
      </xdr:txBody>
    </xdr:sp>
    <xdr:clientData/>
  </xdr:twoCellAnchor>
  <xdr:twoCellAnchor>
    <xdr:from>
      <xdr:col>16</xdr:col>
      <xdr:colOff>308364</xdr:colOff>
      <xdr:row>1</xdr:row>
      <xdr:rowOff>14016</xdr:rowOff>
    </xdr:from>
    <xdr:to>
      <xdr:col>19</xdr:col>
      <xdr:colOff>194064</xdr:colOff>
      <xdr:row>2</xdr:row>
      <xdr:rowOff>80691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9949997" y="208404"/>
          <a:ext cx="1693506" cy="261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i="0">
              <a:solidFill>
                <a:srgbClr val="700000"/>
              </a:solidFill>
              <a:latin typeface="Arial Rounded MT Bold" panose="020F0704030504030204" pitchFamily="34" charset="0"/>
            </a:rPr>
            <a:t>Perusahaan</a:t>
          </a:r>
        </a:p>
      </xdr:txBody>
    </xdr:sp>
    <xdr:clientData/>
  </xdr:twoCellAnchor>
  <xdr:twoCellAnchor>
    <xdr:from>
      <xdr:col>5</xdr:col>
      <xdr:colOff>389644</xdr:colOff>
      <xdr:row>25</xdr:row>
      <xdr:rowOff>28766</xdr:rowOff>
    </xdr:from>
    <xdr:to>
      <xdr:col>12</xdr:col>
      <xdr:colOff>16718</xdr:colOff>
      <xdr:row>30</xdr:row>
      <xdr:rowOff>131489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471262" y="4931340"/>
          <a:ext cx="3941338" cy="1083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chemeClr val="bg1"/>
              </a:solidFill>
              <a:latin typeface="Castellar" panose="020A0402060406010301" pitchFamily="18" charset="0"/>
              <a:cs typeface="Arial" panose="020B0604020202020204" pitchFamily="34" charset="0"/>
            </a:rPr>
            <a:t>TREND MARKET SHARE SIG (	</a:t>
          </a:r>
          <a:r>
            <a:rPr lang="en-US" sz="2400" b="1" baseline="0">
              <a:solidFill>
                <a:schemeClr val="bg1"/>
              </a:solidFill>
              <a:latin typeface="Castellar" panose="020A0402060406010301" pitchFamily="18" charset="0"/>
              <a:cs typeface="Arial" panose="020B0604020202020204" pitchFamily="34" charset="0"/>
            </a:rPr>
            <a:t>    </a:t>
          </a:r>
          <a:r>
            <a:rPr lang="en-US" sz="2400" b="1">
              <a:solidFill>
                <a:schemeClr val="bg1"/>
              </a:solidFill>
              <a:latin typeface="Castellar" panose="020A0402060406010301" pitchFamily="18" charset="0"/>
              <a:cs typeface="Arial" panose="020B0604020202020204" pitchFamily="34" charset="0"/>
            </a:rPr>
            <a:t>)</a:t>
          </a:r>
        </a:p>
      </xdr:txBody>
    </xdr:sp>
    <xdr:clientData/>
  </xdr:twoCellAnchor>
  <xdr:twoCellAnchor>
    <xdr:from>
      <xdr:col>24</xdr:col>
      <xdr:colOff>81859</xdr:colOff>
      <xdr:row>23</xdr:row>
      <xdr:rowOff>37352</xdr:rowOff>
    </xdr:from>
    <xdr:to>
      <xdr:col>28</xdr:col>
      <xdr:colOff>503072</xdr:colOff>
      <xdr:row>27</xdr:row>
      <xdr:rowOff>112058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4673348" y="4232405"/>
          <a:ext cx="2853128" cy="804281"/>
        </a:xfrm>
        <a:prstGeom prst="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27239</xdr:colOff>
      <xdr:row>27</xdr:row>
      <xdr:rowOff>11723</xdr:rowOff>
    </xdr:from>
    <xdr:to>
      <xdr:col>12</xdr:col>
      <xdr:colOff>372476</xdr:colOff>
      <xdr:row>28</xdr:row>
      <xdr:rowOff>167787</xdr:rowOff>
    </xdr:to>
    <xdr:sp macro="" textlink="Sheet2!$I$49">
      <xdr:nvSpPr>
        <xdr:cNvPr id="56" name="TextBox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 txBox="1"/>
      </xdr:nvSpPr>
      <xdr:spPr>
        <a:xfrm>
          <a:off x="5574151" y="5054370"/>
          <a:ext cx="2194207" cy="3428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0A7E114-7539-4F5B-B81A-403CB4A9BAAB}" type="TxLink">
            <a:rPr lang="en-US" sz="2400" b="1" i="0" u="none" strike="noStrike">
              <a:solidFill>
                <a:schemeClr val="bg1"/>
              </a:solidFill>
              <a:latin typeface="Castellar" panose="020A0402060406010301" pitchFamily="18" charset="0"/>
              <a:cs typeface="Arial" panose="020B0604020202020204" pitchFamily="34" charset="0"/>
            </a:rPr>
            <a:pPr/>
            <a:t>PT SBI</a:t>
          </a:fld>
          <a:endParaRPr lang="en-US" sz="4000" b="1">
            <a:solidFill>
              <a:schemeClr val="bg1"/>
            </a:solidFill>
            <a:latin typeface="Castellar" panose="020A0402060406010301" pitchFamily="18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485438</xdr:colOff>
      <xdr:row>48</xdr:row>
      <xdr:rowOff>53305</xdr:rowOff>
    </xdr:from>
    <xdr:to>
      <xdr:col>9</xdr:col>
      <xdr:colOff>319759</xdr:colOff>
      <xdr:row>50</xdr:row>
      <xdr:rowOff>84031</xdr:rowOff>
    </xdr:to>
    <xdr:sp macro="" textlink="Sheet2!$R$6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4151664" y="9111041"/>
          <a:ext cx="1667435" cy="4081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D47C373-C9C8-4F61-A85F-BF29AAB617AE}" type="TxLink">
            <a:rPr lang="en-US" sz="2000" b="1" i="1" u="none" strike="noStrike">
              <a:solidFill>
                <a:schemeClr val="tx1">
                  <a:lumMod val="95000"/>
                  <a:lumOff val="5000"/>
                </a:schemeClr>
              </a:solidFill>
              <a:latin typeface="Calibri"/>
              <a:cs typeface="Calibri"/>
            </a:rPr>
            <a:pPr/>
            <a:t>2020</a:t>
          </a:fld>
          <a:endParaRPr lang="en-US" sz="2000" b="1" i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17</xdr:col>
      <xdr:colOff>166858</xdr:colOff>
      <xdr:row>23</xdr:row>
      <xdr:rowOff>174087</xdr:rowOff>
    </xdr:from>
    <xdr:to>
      <xdr:col>23</xdr:col>
      <xdr:colOff>408448</xdr:colOff>
      <xdr:row>29</xdr:row>
      <xdr:rowOff>80707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10613632" y="4649813"/>
          <a:ext cx="3928687" cy="1074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chemeClr val="bg1"/>
              </a:solidFill>
              <a:latin typeface="Castellar" panose="020A0402060406010301" pitchFamily="18" charset="0"/>
              <a:cs typeface="Arial" panose="020B0604020202020204" pitchFamily="34" charset="0"/>
            </a:rPr>
            <a:t>MARKET SHARE DI</a:t>
          </a:r>
          <a:r>
            <a:rPr lang="en-US" sz="2400" b="1" baseline="0">
              <a:solidFill>
                <a:schemeClr val="bg1"/>
              </a:solidFill>
              <a:latin typeface="Castellar" panose="020A0402060406010301" pitchFamily="18" charset="0"/>
              <a:cs typeface="Arial" panose="020B0604020202020204" pitchFamily="34" charset="0"/>
            </a:rPr>
            <a:t> NEGARA</a:t>
          </a:r>
          <a:endParaRPr lang="en-US" sz="2400" b="1">
            <a:solidFill>
              <a:schemeClr val="bg1"/>
            </a:solidFill>
            <a:latin typeface="Castellar" panose="020A0402060406010301" pitchFamily="18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531352</xdr:colOff>
      <xdr:row>24</xdr:row>
      <xdr:rowOff>139747</xdr:rowOff>
    </xdr:from>
    <xdr:to>
      <xdr:col>29</xdr:col>
      <xdr:colOff>367481</xdr:colOff>
      <xdr:row>26</xdr:row>
      <xdr:rowOff>170475</xdr:rowOff>
    </xdr:to>
    <xdr:sp macro="" textlink="Sheet2!$R$6">
      <xdr:nvSpPr>
        <xdr:cNvPr id="58" name="TextBox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 txBox="1"/>
      </xdr:nvSpPr>
      <xdr:spPr>
        <a:xfrm>
          <a:off x="16555764" y="4622100"/>
          <a:ext cx="1685099" cy="4042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D47C373-C9C8-4F61-A85F-BF29AAB617AE}" type="TxLink">
            <a:rPr lang="en-US" sz="2000" b="1" i="1" u="none" strike="noStrike">
              <a:solidFill>
                <a:schemeClr val="bg1"/>
              </a:solidFill>
              <a:latin typeface="Calibri"/>
              <a:cs typeface="Calibri"/>
            </a:rPr>
            <a:pPr/>
            <a:t>2020</a:t>
          </a:fld>
          <a:endParaRPr lang="en-US" sz="2000" b="1" i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229215</xdr:colOff>
      <xdr:row>5</xdr:row>
      <xdr:rowOff>173996</xdr:rowOff>
    </xdr:from>
    <xdr:to>
      <xdr:col>21</xdr:col>
      <xdr:colOff>134154</xdr:colOff>
      <xdr:row>20</xdr:row>
      <xdr:rowOff>157914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9927397" y="1112064"/>
          <a:ext cx="2935621" cy="2798123"/>
        </a:xfrm>
        <a:prstGeom prst="roundRect">
          <a:avLst/>
        </a:prstGeom>
        <a:noFill/>
        <a:ln>
          <a:noFill/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1" i="1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Volume Ekspor (Ton)</a:t>
          </a:r>
        </a:p>
        <a:p>
          <a:pPr algn="l"/>
          <a:r>
            <a:rPr lang="en-US" sz="1800" b="1" i="1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Nasional</a:t>
          </a:r>
        </a:p>
        <a:p>
          <a:pPr algn="l"/>
          <a:endParaRPr lang="en-US" sz="1800" b="1" i="1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1800" b="1" i="1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800" b="1" i="1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Clinker</a:t>
          </a:r>
        </a:p>
        <a:p>
          <a:pPr algn="l"/>
          <a:endParaRPr lang="en-US" sz="1800" b="1" i="1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1800" b="1" i="1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800" b="1" i="1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Cement</a:t>
          </a:r>
        </a:p>
      </xdr:txBody>
    </xdr:sp>
    <xdr:clientData/>
  </xdr:twoCellAnchor>
  <xdr:twoCellAnchor>
    <xdr:from>
      <xdr:col>16</xdr:col>
      <xdr:colOff>432954</xdr:colOff>
      <xdr:row>9</xdr:row>
      <xdr:rowOff>121227</xdr:rowOff>
    </xdr:from>
    <xdr:to>
      <xdr:col>20</xdr:col>
      <xdr:colOff>415637</xdr:colOff>
      <xdr:row>12</xdr:row>
      <xdr:rowOff>86591</xdr:rowOff>
    </xdr:to>
    <xdr:sp macro="" textlink="Sheet2!$X$37">
      <xdr:nvSpPr>
        <xdr:cNvPr id="31" name="Rectangle: Rounded Corners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0131136" y="1835727"/>
          <a:ext cx="2407228" cy="536864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69CC449-29E5-4EC6-98AE-F15B479414D9}" type="TxLink">
            <a:rPr lang="en-US" sz="2800" b="1" i="1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428904.91</a:t>
          </a:fld>
          <a:endParaRPr lang="en-US" sz="2800" b="1" i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446809</xdr:colOff>
      <xdr:row>13</xdr:row>
      <xdr:rowOff>152400</xdr:rowOff>
    </xdr:from>
    <xdr:to>
      <xdr:col>20</xdr:col>
      <xdr:colOff>429492</xdr:colOff>
      <xdr:row>16</xdr:row>
      <xdr:rowOff>117764</xdr:rowOff>
    </xdr:to>
    <xdr:sp macro="" textlink="Sheet2!$X$35">
      <xdr:nvSpPr>
        <xdr:cNvPr id="65" name="Rectangle: Rounded Corners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10144991" y="2628900"/>
          <a:ext cx="2407228" cy="536864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F7ABF0E-05CC-415A-92CC-D211136DE507}" type="TxLink">
            <a:rPr lang="en-US" sz="2800" b="1" i="1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230737.346</a:t>
          </a:fld>
          <a:endParaRPr lang="en-US" sz="6000" b="1" i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447980</xdr:colOff>
      <xdr:row>17</xdr:row>
      <xdr:rowOff>182597</xdr:rowOff>
    </xdr:from>
    <xdr:to>
      <xdr:col>20</xdr:col>
      <xdr:colOff>430663</xdr:colOff>
      <xdr:row>20</xdr:row>
      <xdr:rowOff>147961</xdr:rowOff>
    </xdr:to>
    <xdr:sp macro="" textlink="Sheet2!$X$36">
      <xdr:nvSpPr>
        <xdr:cNvPr id="66" name="Rectangle: Rounded Corners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10146162" y="3421097"/>
          <a:ext cx="2407228" cy="536864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F1B3AED-4CF5-4094-9D41-BDC258DF317E}" type="TxLink">
            <a:rPr lang="en-US" sz="2800" b="1" i="1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198167.564</a:t>
          </a:fld>
          <a:endParaRPr lang="en-US" sz="6000" b="1" i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529435</xdr:colOff>
      <xdr:row>0</xdr:row>
      <xdr:rowOff>142030</xdr:rowOff>
    </xdr:from>
    <xdr:to>
      <xdr:col>15</xdr:col>
      <xdr:colOff>178593</xdr:colOff>
      <xdr:row>3</xdr:row>
      <xdr:rowOff>9922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 txBox="1"/>
      </xdr:nvSpPr>
      <xdr:spPr>
        <a:xfrm>
          <a:off x="4766076" y="142030"/>
          <a:ext cx="4491033" cy="433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chemeClr val="bg1"/>
              </a:solidFill>
              <a:latin typeface="Castellar" panose="020A0402060406010301" pitchFamily="18" charset="0"/>
              <a:cs typeface="Arial" panose="020B0604020202020204" pitchFamily="34" charset="0"/>
            </a:rPr>
            <a:t>PERKEMBANGAN</a:t>
          </a:r>
          <a:r>
            <a:rPr lang="en-US" sz="2400" b="1" baseline="0">
              <a:solidFill>
                <a:schemeClr val="bg1"/>
              </a:solidFill>
              <a:latin typeface="Castellar" panose="020A0402060406010301" pitchFamily="18" charset="0"/>
              <a:cs typeface="Arial" panose="020B0604020202020204" pitchFamily="34" charset="0"/>
            </a:rPr>
            <a:t> EKSPOR</a:t>
          </a:r>
          <a:endParaRPr lang="en-US" sz="2400" b="1">
            <a:solidFill>
              <a:schemeClr val="bg1"/>
            </a:solidFill>
            <a:latin typeface="Castellar" panose="020A0402060406010301" pitchFamily="18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405624</xdr:colOff>
      <xdr:row>2</xdr:row>
      <xdr:rowOff>111468</xdr:rowOff>
    </xdr:from>
    <xdr:to>
      <xdr:col>13</xdr:col>
      <xdr:colOff>134538</xdr:colOff>
      <xdr:row>4</xdr:row>
      <xdr:rowOff>80767</xdr:rowOff>
    </xdr:to>
    <xdr:sp macro="" textlink="Sheet2!$R$4">
      <xdr:nvSpPr>
        <xdr:cNvPr id="68" name="TextBox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5952536" y="484997"/>
          <a:ext cx="2194208" cy="3428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DC05DCC-4499-4F1E-B39F-75B3330C7A1E}" type="TxLink">
            <a:rPr lang="en-US" sz="2400" b="1" i="0" u="none" strike="noStrike">
              <a:solidFill>
                <a:schemeClr val="bg1"/>
              </a:solidFill>
              <a:latin typeface="Castellar" panose="020A0402060406010301" pitchFamily="18" charset="0"/>
              <a:cs typeface="Calibri"/>
            </a:rPr>
            <a:pPr algn="ctr"/>
            <a:t>Nasional</a:t>
          </a:fld>
          <a:endParaRPr lang="en-US" sz="16600" b="1">
            <a:solidFill>
              <a:schemeClr val="bg1"/>
            </a:solidFill>
            <a:latin typeface="Castellar" panose="020A0402060406010301" pitchFamily="18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19</xdr:col>
      <xdr:colOff>420801</xdr:colOff>
      <xdr:row>25</xdr:row>
      <xdr:rowOff>161001</xdr:rowOff>
    </xdr:from>
    <xdr:to>
      <xdr:col>24</xdr:col>
      <xdr:colOff>14007</xdr:colOff>
      <xdr:row>27</xdr:row>
      <xdr:rowOff>126565</xdr:rowOff>
    </xdr:to>
    <xdr:sp macro="" textlink="Sheet2!$R$10">
      <xdr:nvSpPr>
        <xdr:cNvPr id="69" name="TextBox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12041301" y="4923501"/>
          <a:ext cx="2651232" cy="3465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636E9A6-1F9E-4306-BCD5-0BC8FBF95F31}" type="TxLink">
            <a:rPr lang="en-US" sz="2400" b="1" i="0" u="none" strike="noStrike">
              <a:solidFill>
                <a:schemeClr val="bg1"/>
              </a:solidFill>
              <a:latin typeface="Castellar" panose="020A0402060406010301" pitchFamily="18" charset="0"/>
              <a:cs typeface="Calibri"/>
            </a:rPr>
            <a:pPr/>
            <a:t>Bangladesh</a:t>
          </a:fld>
          <a:endParaRPr lang="en-US" sz="7200" b="1">
            <a:solidFill>
              <a:schemeClr val="bg1"/>
            </a:solidFill>
            <a:latin typeface="Castellar" panose="020A0402060406010301" pitchFamily="18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2838</xdr:colOff>
      <xdr:row>43</xdr:row>
      <xdr:rowOff>146063</xdr:rowOff>
    </xdr:from>
    <xdr:to>
      <xdr:col>10</xdr:col>
      <xdr:colOff>453483</xdr:colOff>
      <xdr:row>45</xdr:row>
      <xdr:rowOff>184854</xdr:rowOff>
    </xdr:to>
    <xdr:sp macro="" textlink="Sheet2!$R$4">
      <xdr:nvSpPr>
        <xdr:cNvPr id="70" name="TextBox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4891140" y="8260285"/>
          <a:ext cx="1672720" cy="4161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6AF312D-74B5-4211-9722-76B4F2486AEF}" type="TxLink">
            <a:rPr lang="en-US" sz="1800" b="1" i="1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Nasional</a:t>
          </a:fld>
          <a:endParaRPr lang="en-US" sz="3600" b="1" i="1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201325</xdr:colOff>
      <xdr:row>46</xdr:row>
      <xdr:rowOff>16771</xdr:rowOff>
    </xdr:from>
    <xdr:to>
      <xdr:col>11</xdr:col>
      <xdr:colOff>35646</xdr:colOff>
      <xdr:row>48</xdr:row>
      <xdr:rowOff>39213</xdr:rowOff>
    </xdr:to>
    <xdr:sp macro="" textlink="Sheet2!$R$10">
      <xdr:nvSpPr>
        <xdr:cNvPr id="71" name="TextBox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5089627" y="8697101"/>
          <a:ext cx="1667434" cy="399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312117A-0F55-4BCF-A259-BFCDA34555AE}" type="TxLink">
            <a:rPr lang="en-US" sz="1800" b="1" i="1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Bangladesh</a:t>
          </a:fld>
          <a:endParaRPr lang="en-US" sz="3600" b="1" i="1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360250</xdr:colOff>
      <xdr:row>29</xdr:row>
      <xdr:rowOff>18049</xdr:rowOff>
    </xdr:from>
    <xdr:to>
      <xdr:col>22</xdr:col>
      <xdr:colOff>112060</xdr:colOff>
      <xdr:row>31</xdr:row>
      <xdr:rowOff>168088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11454074" y="5434225"/>
          <a:ext cx="2217104" cy="5235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Castellar" panose="020A0402060406010301" pitchFamily="18" charset="0"/>
              <a:cs typeface="Arial" panose="020B0604020202020204" pitchFamily="34" charset="0"/>
            </a:rPr>
            <a:t>Nasional</a:t>
          </a:r>
        </a:p>
      </xdr:txBody>
    </xdr:sp>
    <xdr:clientData/>
  </xdr:twoCellAnchor>
  <xdr:twoCellAnchor>
    <xdr:from>
      <xdr:col>24</xdr:col>
      <xdr:colOff>251180</xdr:colOff>
      <xdr:row>31</xdr:row>
      <xdr:rowOff>21037</xdr:rowOff>
    </xdr:from>
    <xdr:to>
      <xdr:col>28</xdr:col>
      <xdr:colOff>2990</xdr:colOff>
      <xdr:row>33</xdr:row>
      <xdr:rowOff>171077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5042945" y="5810743"/>
          <a:ext cx="2217104" cy="5235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Castellar" panose="020A0402060406010301" pitchFamily="18" charset="0"/>
              <a:cs typeface="Arial" panose="020B0604020202020204" pitchFamily="34" charset="0"/>
            </a:rPr>
            <a:t>SIG</a:t>
          </a:r>
        </a:p>
      </xdr:txBody>
    </xdr:sp>
    <xdr:clientData/>
  </xdr:twoCellAnchor>
  <xdr:twoCellAnchor>
    <xdr:from>
      <xdr:col>24</xdr:col>
      <xdr:colOff>378164</xdr:colOff>
      <xdr:row>24</xdr:row>
      <xdr:rowOff>161714</xdr:rowOff>
    </xdr:from>
    <xdr:to>
      <xdr:col>27</xdr:col>
      <xdr:colOff>220830</xdr:colOff>
      <xdr:row>27</xdr:row>
      <xdr:rowOff>5676</xdr:rowOff>
    </xdr:to>
    <xdr:sp macro="" textlink="Sheet2!$R$4">
      <xdr:nvSpPr>
        <xdr:cNvPr id="76" name="TextBox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14969653" y="4539161"/>
          <a:ext cx="1666603" cy="391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6AF312D-74B5-4211-9722-76B4F2486AEF}" type="TxLink">
            <a:rPr lang="en-US" sz="1800" b="1" i="1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Nasional</a:t>
          </a:fld>
          <a:endParaRPr lang="en-US" sz="3600" b="1" i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24</xdr:col>
      <xdr:colOff>84019</xdr:colOff>
      <xdr:row>22</xdr:row>
      <xdr:rowOff>163652</xdr:rowOff>
    </xdr:from>
    <xdr:to>
      <xdr:col>28</xdr:col>
      <xdr:colOff>596936</xdr:colOff>
      <xdr:row>24</xdr:row>
      <xdr:rowOff>155864</xdr:rowOff>
    </xdr:to>
    <xdr:sp macro="" textlink="">
      <xdr:nvSpPr>
        <xdr:cNvPr id="77" name="Rectangle: Rounded Corners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4675508" y="4176312"/>
          <a:ext cx="2944832" cy="356999"/>
        </a:xfrm>
        <a:prstGeom prst="roundRect">
          <a:avLst/>
        </a:prstGeom>
        <a:noFill/>
        <a:ln>
          <a:noFill/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0" i="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Jenis</a:t>
          </a:r>
          <a:r>
            <a:rPr lang="en-US" sz="1800" b="0" i="0" baseline="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Produk</a:t>
          </a:r>
          <a:endParaRPr lang="en-US" sz="1800" b="0" i="0">
            <a:solidFill>
              <a:schemeClr val="bg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441064</xdr:colOff>
      <xdr:row>22</xdr:row>
      <xdr:rowOff>166640</xdr:rowOff>
    </xdr:from>
    <xdr:to>
      <xdr:col>29</xdr:col>
      <xdr:colOff>18677</xdr:colOff>
      <xdr:row>26</xdr:row>
      <xdr:rowOff>21666</xdr:rowOff>
    </xdr:to>
    <xdr:sp macro="" textlink="">
      <xdr:nvSpPr>
        <xdr:cNvPr id="78" name="Rectangle: Rounded Corners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>
          <a:off x="16465476" y="4275464"/>
          <a:ext cx="1426583" cy="602084"/>
        </a:xfrm>
        <a:prstGeom prst="roundRect">
          <a:avLst/>
        </a:prstGeom>
        <a:noFill/>
        <a:ln>
          <a:noFill/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0" i="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Tahun</a:t>
          </a:r>
        </a:p>
      </xdr:txBody>
    </xdr:sp>
    <xdr:clientData/>
  </xdr:twoCellAnchor>
  <xdr:twoCellAnchor>
    <xdr:from>
      <xdr:col>21</xdr:col>
      <xdr:colOff>464343</xdr:colOff>
      <xdr:row>4</xdr:row>
      <xdr:rowOff>150163</xdr:rowOff>
    </xdr:from>
    <xdr:to>
      <xdr:col>28</xdr:col>
      <xdr:colOff>91416</xdr:colOff>
      <xdr:row>7</xdr:row>
      <xdr:rowOff>93383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 txBox="1"/>
      </xdr:nvSpPr>
      <xdr:spPr>
        <a:xfrm>
          <a:off x="13407137" y="897222"/>
          <a:ext cx="3941338" cy="5035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chemeClr val="bg1"/>
              </a:solidFill>
              <a:latin typeface="Castellar" panose="020A0402060406010301" pitchFamily="18" charset="0"/>
              <a:cs typeface="Arial" panose="020B0604020202020204" pitchFamily="34" charset="0"/>
            </a:rPr>
            <a:t>Ekspor </a:t>
          </a:r>
        </a:p>
      </xdr:txBody>
    </xdr:sp>
    <xdr:clientData/>
  </xdr:twoCellAnchor>
  <xdr:twoCellAnchor>
    <xdr:from>
      <xdr:col>23</xdr:col>
      <xdr:colOff>590522</xdr:colOff>
      <xdr:row>4</xdr:row>
      <xdr:rowOff>145446</xdr:rowOff>
    </xdr:from>
    <xdr:to>
      <xdr:col>27</xdr:col>
      <xdr:colOff>319435</xdr:colOff>
      <xdr:row>6</xdr:row>
      <xdr:rowOff>114746</xdr:rowOff>
    </xdr:to>
    <xdr:sp macro="" textlink="Sheet2!$R$8">
      <xdr:nvSpPr>
        <xdr:cNvPr id="81" name="TextBox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 txBox="1"/>
      </xdr:nvSpPr>
      <xdr:spPr>
        <a:xfrm>
          <a:off x="14765963" y="892505"/>
          <a:ext cx="2194207" cy="3428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F4ED4AF-0D10-44BF-849D-06998FF85FFC}" type="TxLink">
            <a:rPr lang="en-US" sz="2400" b="1" i="0" u="none" strike="noStrike">
              <a:solidFill>
                <a:schemeClr val="bg1"/>
              </a:solidFill>
              <a:latin typeface="Castellar" panose="020A0402060406010301" pitchFamily="18" charset="0"/>
              <a:cs typeface="Calibri"/>
            </a:rPr>
            <a:pPr/>
            <a:t>PT SBI</a:t>
          </a:fld>
          <a:endParaRPr lang="en-US" sz="7200" b="1">
            <a:solidFill>
              <a:schemeClr val="bg1"/>
            </a:solidFill>
            <a:latin typeface="Castellar" panose="020A0402060406010301" pitchFamily="18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32</xdr:col>
      <xdr:colOff>453634</xdr:colOff>
      <xdr:row>5</xdr:row>
      <xdr:rowOff>36725</xdr:rowOff>
    </xdr:from>
    <xdr:to>
      <xdr:col>41</xdr:col>
      <xdr:colOff>466912</xdr:colOff>
      <xdr:row>10</xdr:row>
      <xdr:rowOff>74706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20175987" y="970549"/>
          <a:ext cx="5560190" cy="9718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>
              <a:solidFill>
                <a:schemeClr val="bg1"/>
              </a:solidFill>
              <a:latin typeface="Castellar" panose="020A0402060406010301" pitchFamily="18" charset="0"/>
              <a:cs typeface="Arial" panose="020B0604020202020204" pitchFamily="34" charset="0"/>
            </a:rPr>
            <a:t>VOlume ekspor  "                  " </a:t>
          </a:r>
        </a:p>
        <a:p>
          <a:pPr algn="l"/>
          <a:r>
            <a:rPr lang="en-US" sz="2400" b="1">
              <a:solidFill>
                <a:schemeClr val="bg1"/>
              </a:solidFill>
              <a:latin typeface="Castellar" panose="020A0402060406010301" pitchFamily="18" charset="0"/>
              <a:cs typeface="Arial" panose="020B0604020202020204" pitchFamily="34" charset="0"/>
            </a:rPr>
            <a:t>             Tahun</a:t>
          </a:r>
        </a:p>
      </xdr:txBody>
    </xdr:sp>
    <xdr:clientData/>
  </xdr:twoCellAnchor>
  <xdr:twoCellAnchor>
    <xdr:from>
      <xdr:col>38</xdr:col>
      <xdr:colOff>24505</xdr:colOff>
      <xdr:row>5</xdr:row>
      <xdr:rowOff>49654</xdr:rowOff>
    </xdr:from>
    <xdr:to>
      <xdr:col>41</xdr:col>
      <xdr:colOff>224119</xdr:colOff>
      <xdr:row>7</xdr:row>
      <xdr:rowOff>112059</xdr:rowOff>
    </xdr:to>
    <xdr:sp macro="" textlink="Sheet2!$R$4">
      <xdr:nvSpPr>
        <xdr:cNvPr id="83" name="TextBox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23444799" y="983478"/>
          <a:ext cx="2048585" cy="435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6AF312D-74B5-4211-9722-76B4F2486AEF}" type="TxLink">
            <a:rPr lang="en-US" sz="2400" b="1" i="0" u="none" strike="noStrike">
              <a:solidFill>
                <a:schemeClr val="tx1">
                  <a:lumMod val="95000"/>
                  <a:lumOff val="5000"/>
                </a:schemeClr>
              </a:solidFill>
              <a:latin typeface="Castellar" panose="020A0402060406010301" pitchFamily="18" charset="0"/>
              <a:cs typeface="Arial" panose="020B0604020202020204" pitchFamily="34" charset="0"/>
            </a:rPr>
            <a:pPr algn="ctr"/>
            <a:t>Nasional</a:t>
          </a:fld>
          <a:endParaRPr lang="en-US" sz="4400" b="1" i="0">
            <a:solidFill>
              <a:schemeClr val="tx1">
                <a:lumMod val="95000"/>
                <a:lumOff val="5000"/>
              </a:schemeClr>
            </a:solidFill>
            <a:latin typeface="Castellar" panose="020A0402060406010301" pitchFamily="18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37</xdr:col>
      <xdr:colOff>226957</xdr:colOff>
      <xdr:row>7</xdr:row>
      <xdr:rowOff>23323</xdr:rowOff>
    </xdr:from>
    <xdr:to>
      <xdr:col>40</xdr:col>
      <xdr:colOff>61279</xdr:colOff>
      <xdr:row>10</xdr:row>
      <xdr:rowOff>2</xdr:rowOff>
    </xdr:to>
    <xdr:sp macro="" textlink="Sheet2!$R$6">
      <xdr:nvSpPr>
        <xdr:cNvPr id="84" name="TextBox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23030928" y="1330676"/>
          <a:ext cx="1683292" cy="536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D47C373-C9C8-4F61-A85F-BF29AAB617AE}" type="TxLink">
            <a:rPr lang="en-US" sz="2400" b="1" i="0" u="none" strike="noStrike">
              <a:solidFill>
                <a:schemeClr val="bg1"/>
              </a:solidFill>
              <a:latin typeface="Castellar" panose="020A0402060406010301" pitchFamily="18" charset="0"/>
              <a:cs typeface="Calibri"/>
            </a:rPr>
            <a:pPr/>
            <a:t>2020</a:t>
          </a:fld>
          <a:endParaRPr lang="en-US" sz="2400" b="1" i="0">
            <a:solidFill>
              <a:schemeClr val="bg1"/>
            </a:solidFill>
            <a:latin typeface="Castellar" panose="020A0402060406010301" pitchFamily="18" charset="0"/>
          </a:endParaRPr>
        </a:p>
      </xdr:txBody>
    </xdr:sp>
    <xdr:clientData/>
  </xdr:twoCellAnchor>
  <xdr:twoCellAnchor>
    <xdr:from>
      <xdr:col>43</xdr:col>
      <xdr:colOff>413024</xdr:colOff>
      <xdr:row>6</xdr:row>
      <xdr:rowOff>179457</xdr:rowOff>
    </xdr:from>
    <xdr:to>
      <xdr:col>48</xdr:col>
      <xdr:colOff>317962</xdr:colOff>
      <xdr:row>28</xdr:row>
      <xdr:rowOff>96632</xdr:rowOff>
    </xdr:to>
    <xdr:sp macro="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26530850" y="1339022"/>
          <a:ext cx="2941895" cy="4168914"/>
        </a:xfrm>
        <a:prstGeom prst="roundRect">
          <a:avLst/>
        </a:prstGeom>
        <a:noFill/>
        <a:ln>
          <a:noFill/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n-US" sz="1200" b="1" i="1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SIG</a:t>
          </a:r>
        </a:p>
        <a:p>
          <a:pPr algn="r"/>
          <a:endParaRPr lang="en-US" sz="1200" b="1" i="1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r"/>
          <a:endParaRPr lang="en-US" sz="1200" b="1" i="1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r"/>
          <a:r>
            <a:rPr lang="en-US" sz="1200" b="1" i="1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PT CCI</a:t>
          </a:r>
        </a:p>
        <a:p>
          <a:pPr algn="r"/>
          <a:endParaRPr lang="en-US" sz="1200" b="1" i="1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r"/>
          <a:endParaRPr lang="en-US" sz="1200" b="1" i="1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r"/>
          <a:r>
            <a:rPr lang="en-US" sz="1200" b="1" i="1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PT</a:t>
          </a:r>
          <a:r>
            <a:rPr lang="en-US" sz="1200" b="1" i="1" baseline="0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CG</a:t>
          </a:r>
        </a:p>
        <a:p>
          <a:pPr algn="r"/>
          <a:endParaRPr lang="en-US" sz="1200" b="1" i="1" baseline="0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r"/>
          <a:endParaRPr lang="en-US" sz="1200" b="1" i="1" baseline="0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r"/>
          <a:r>
            <a:rPr lang="en-US" sz="1200" b="1" i="1" baseline="0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PT ITP</a:t>
          </a:r>
        </a:p>
        <a:p>
          <a:pPr algn="r"/>
          <a:endParaRPr lang="en-US" sz="1200" b="1" i="1" baseline="0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r"/>
          <a:endParaRPr lang="en-US" sz="1200" b="1" i="1" baseline="0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r"/>
          <a:r>
            <a:rPr lang="en-US" sz="1200" b="1" i="1" baseline="0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PT SB</a:t>
          </a:r>
        </a:p>
        <a:p>
          <a:pPr algn="r"/>
          <a:endParaRPr lang="en-US" sz="1200" b="1" i="1" baseline="0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r"/>
          <a:endParaRPr lang="en-US" sz="1200" b="1" i="1" baseline="0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r"/>
          <a:r>
            <a:rPr lang="en-US" sz="1200" b="1" i="1" baseline="0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PT SBM</a:t>
          </a:r>
        </a:p>
        <a:p>
          <a:pPr algn="r"/>
          <a:endParaRPr lang="en-US" sz="1200" b="1" i="1" baseline="0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r"/>
          <a:endParaRPr lang="en-US" sz="1200" b="1" i="1" baseline="0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r"/>
          <a:r>
            <a:rPr lang="en-US" sz="1200" b="1" i="1" baseline="0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PT SK</a:t>
          </a:r>
        </a:p>
        <a:p>
          <a:pPr algn="r"/>
          <a:endParaRPr lang="en-US" sz="1200" b="1" i="1" baseline="0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r"/>
          <a:endParaRPr lang="en-US" sz="1200" b="1" i="1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12549</xdr:colOff>
      <xdr:row>7</xdr:row>
      <xdr:rowOff>68771</xdr:rowOff>
    </xdr:from>
    <xdr:to>
      <xdr:col>48</xdr:col>
      <xdr:colOff>179456</xdr:colOff>
      <xdr:row>9</xdr:row>
      <xdr:rowOff>96630</xdr:rowOff>
    </xdr:to>
    <xdr:sp macro="" textlink="Sheet2!$N$23">
      <xdr:nvSpPr>
        <xdr:cNvPr id="86" name="Rectangle: Rounded Corners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>
          <a:off x="26737766" y="1421597"/>
          <a:ext cx="2596473" cy="414381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D52A3EB-FF68-485D-95DF-D2AEA9AEDB7C}" type="TxLink">
            <a:rPr lang="en-US" sz="1800" b="1" i="1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58950</a:t>
          </a:fld>
          <a:endParaRPr lang="en-US" sz="3600" b="1" i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26905</xdr:colOff>
      <xdr:row>9</xdr:row>
      <xdr:rowOff>179757</xdr:rowOff>
    </xdr:from>
    <xdr:to>
      <xdr:col>48</xdr:col>
      <xdr:colOff>193812</xdr:colOff>
      <xdr:row>12</xdr:row>
      <xdr:rowOff>14356</xdr:rowOff>
    </xdr:to>
    <xdr:sp macro="" textlink="Sheet2!$N$24">
      <xdr:nvSpPr>
        <xdr:cNvPr id="87" name="Rectangle: Rounded Corners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26752122" y="1919105"/>
          <a:ext cx="2596473" cy="414381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A13D2DF-2F87-40BB-8390-3FD43B4D92DC}" type="TxLink">
            <a:rPr lang="en-US" sz="1800" b="1" i="1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12200</a:t>
          </a:fld>
          <a:endParaRPr lang="en-US" sz="5400" b="1" i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55066</xdr:colOff>
      <xdr:row>12</xdr:row>
      <xdr:rowOff>111288</xdr:rowOff>
    </xdr:from>
    <xdr:to>
      <xdr:col>48</xdr:col>
      <xdr:colOff>221973</xdr:colOff>
      <xdr:row>14</xdr:row>
      <xdr:rowOff>139147</xdr:rowOff>
    </xdr:to>
    <xdr:sp macro="" textlink="Sheet2!$N$25">
      <xdr:nvSpPr>
        <xdr:cNvPr id="88" name="Rectangle: Rounded Corners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26780283" y="2430418"/>
          <a:ext cx="2596473" cy="414381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4A2546A-4B10-45F4-A63B-1AEA304920DC}" type="TxLink">
            <a:rPr lang="en-US" sz="1800" b="1" i="1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1000</a:t>
          </a:fld>
          <a:endParaRPr lang="en-US" sz="8000" b="1" i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69423</xdr:colOff>
      <xdr:row>15</xdr:row>
      <xdr:rowOff>84231</xdr:rowOff>
    </xdr:from>
    <xdr:to>
      <xdr:col>48</xdr:col>
      <xdr:colOff>236330</xdr:colOff>
      <xdr:row>17</xdr:row>
      <xdr:rowOff>112090</xdr:rowOff>
    </xdr:to>
    <xdr:sp macro="" textlink="Sheet2!$N$26">
      <xdr:nvSpPr>
        <xdr:cNvPr id="89" name="Rectangle: Rounded Corner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26794640" y="2983144"/>
          <a:ext cx="2596473" cy="414381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937091D-0739-424A-946B-998748102ABF}" type="TxLink">
            <a:rPr lang="en-US" sz="1800" b="1" i="1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6800</a:t>
          </a:fld>
          <a:endParaRPr lang="en-US" sz="8000" b="1" i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69976</xdr:colOff>
      <xdr:row>18</xdr:row>
      <xdr:rowOff>29566</xdr:rowOff>
    </xdr:from>
    <xdr:to>
      <xdr:col>48</xdr:col>
      <xdr:colOff>236883</xdr:colOff>
      <xdr:row>20</xdr:row>
      <xdr:rowOff>57426</xdr:rowOff>
    </xdr:to>
    <xdr:sp macro="" textlink="Sheet2!$N$27">
      <xdr:nvSpPr>
        <xdr:cNvPr id="90" name="Rectangle: Rounded Corners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26795193" y="3508262"/>
          <a:ext cx="2596473" cy="414381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4307CF3-0C04-4B32-8AE9-9331EFC57C05}" type="TxLink">
            <a:rPr lang="en-US" sz="1800" b="1" i="1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18100</a:t>
          </a:fld>
          <a:endParaRPr lang="en-US" sz="8000" b="1" i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70529</xdr:colOff>
      <xdr:row>20</xdr:row>
      <xdr:rowOff>154358</xdr:rowOff>
    </xdr:from>
    <xdr:to>
      <xdr:col>48</xdr:col>
      <xdr:colOff>237436</xdr:colOff>
      <xdr:row>22</xdr:row>
      <xdr:rowOff>182217</xdr:rowOff>
    </xdr:to>
    <xdr:sp macro="" textlink="Sheet2!$N$28">
      <xdr:nvSpPr>
        <xdr:cNvPr id="91" name="Rectangle: Rounded Corners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26795746" y="4019575"/>
          <a:ext cx="2596473" cy="414381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4BEEA0B-1692-4C57-98CC-FEB009C940BA}" type="TxLink">
            <a:rPr lang="en-US" sz="1800" b="1" i="1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6500</a:t>
          </a:fld>
          <a:endParaRPr lang="en-US" sz="8000" b="1" i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44</xdr:col>
      <xdr:colOff>84886</xdr:colOff>
      <xdr:row>23</xdr:row>
      <xdr:rowOff>72084</xdr:rowOff>
    </xdr:from>
    <xdr:to>
      <xdr:col>48</xdr:col>
      <xdr:colOff>251793</xdr:colOff>
      <xdr:row>25</xdr:row>
      <xdr:rowOff>99943</xdr:rowOff>
    </xdr:to>
    <xdr:sp macro="" textlink="Sheet2!$N$29">
      <xdr:nvSpPr>
        <xdr:cNvPr id="92" name="Rectangle: Rounded Corners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26810103" y="4517084"/>
          <a:ext cx="2596473" cy="414381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787E9F2-B46F-4B11-9DC9-B2F6EA68DABC}" type="TxLink">
            <a:rPr lang="en-US" sz="1800" b="1" i="1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1000</a:t>
          </a:fld>
          <a:endParaRPr lang="en-US" sz="8000" b="1" i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34</xdr:col>
      <xdr:colOff>456811</xdr:colOff>
      <xdr:row>35</xdr:row>
      <xdr:rowOff>77755</xdr:rowOff>
    </xdr:from>
    <xdr:to>
      <xdr:col>39</xdr:col>
      <xdr:colOff>48596</xdr:colOff>
      <xdr:row>44</xdr:row>
      <xdr:rowOff>38878</xdr:rowOff>
    </xdr:to>
    <xdr:sp macro="" textlink="">
      <xdr:nvSpPr>
        <xdr:cNvPr id="96" name="Callout: Bent Line with Accent Bar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21275740" y="6881326"/>
          <a:ext cx="2653392" cy="1710613"/>
        </a:xfrm>
        <a:prstGeom prst="accentCallout2">
          <a:avLst>
            <a:gd name="adj1" fmla="val 34091"/>
            <a:gd name="adj2" fmla="val 104121"/>
            <a:gd name="adj3" fmla="val 43750"/>
            <a:gd name="adj4" fmla="val 121429"/>
            <a:gd name="adj5" fmla="val 77842"/>
            <a:gd name="adj6" fmla="val 135385"/>
          </a:avLst>
        </a:prstGeom>
        <a:solidFill>
          <a:srgbClr val="700000"/>
        </a:solidFill>
        <a:ln>
          <a:solidFill>
            <a:srgbClr val="700000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164210</xdr:colOff>
      <xdr:row>28</xdr:row>
      <xdr:rowOff>14115</xdr:rowOff>
    </xdr:from>
    <xdr:to>
      <xdr:col>45</xdr:col>
      <xdr:colOff>595213</xdr:colOff>
      <xdr:row>33</xdr:row>
      <xdr:rowOff>56425</xdr:rowOff>
    </xdr:to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 txBox="1"/>
      </xdr:nvSpPr>
      <xdr:spPr>
        <a:xfrm>
          <a:off x="21057758" y="5176050"/>
          <a:ext cx="7190681" cy="9640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>
              <a:solidFill>
                <a:schemeClr val="bg1"/>
              </a:solidFill>
              <a:latin typeface="Castellar" panose="020A0402060406010301" pitchFamily="18" charset="0"/>
              <a:cs typeface="Arial" panose="020B0604020202020204" pitchFamily="34" charset="0"/>
            </a:rPr>
            <a:t>PERBANDINGAN EKSPOR PER NEGARA TUJUAN Tahun 2016 -</a:t>
          </a:r>
        </a:p>
      </xdr:txBody>
    </xdr:sp>
    <xdr:clientData/>
  </xdr:twoCellAnchor>
  <xdr:twoCellAnchor>
    <xdr:from>
      <xdr:col>33</xdr:col>
      <xdr:colOff>593493</xdr:colOff>
      <xdr:row>36</xdr:row>
      <xdr:rowOff>144129</xdr:rowOff>
    </xdr:from>
    <xdr:to>
      <xdr:col>39</xdr:col>
      <xdr:colOff>503200</xdr:colOff>
      <xdr:row>39</xdr:row>
      <xdr:rowOff>157720</xdr:rowOff>
    </xdr:to>
    <xdr:sp macro="" textlink="Sheet2!$K$56">
      <xdr:nvSpPr>
        <xdr:cNvPr id="98" name="TextBox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 txBox="1"/>
      </xdr:nvSpPr>
      <xdr:spPr>
        <a:xfrm>
          <a:off x="20800100" y="7142088"/>
          <a:ext cx="3583636" cy="5967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BC726D9-D58A-46A8-9143-570E7CE24C7C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astellar" panose="020A0402060406010301" pitchFamily="18" charset="0"/>
              <a:cs typeface="Calibri"/>
            </a:rPr>
            <a:pPr algn="ctr"/>
            <a:t>Australia</a:t>
          </a:fld>
          <a:endParaRPr lang="en-US" sz="7200" b="1" i="1">
            <a:solidFill>
              <a:schemeClr val="bg1">
                <a:lumMod val="85000"/>
              </a:schemeClr>
            </a:solidFill>
            <a:latin typeface="Castellar" panose="020A0402060406010301" pitchFamily="18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35</xdr:col>
      <xdr:colOff>48327</xdr:colOff>
      <xdr:row>35</xdr:row>
      <xdr:rowOff>61529</xdr:rowOff>
    </xdr:from>
    <xdr:to>
      <xdr:col>37</xdr:col>
      <xdr:colOff>546348</xdr:colOff>
      <xdr:row>37</xdr:row>
      <xdr:rowOff>0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21479577" y="6865100"/>
          <a:ext cx="1722664" cy="3272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i="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Tertinggi</a:t>
          </a:r>
        </a:p>
      </xdr:txBody>
    </xdr:sp>
    <xdr:clientData/>
  </xdr:twoCellAnchor>
  <xdr:twoCellAnchor>
    <xdr:from>
      <xdr:col>35</xdr:col>
      <xdr:colOff>174951</xdr:colOff>
      <xdr:row>39</xdr:row>
      <xdr:rowOff>2</xdr:rowOff>
    </xdr:from>
    <xdr:to>
      <xdr:col>38</xdr:col>
      <xdr:colOff>524849</xdr:colOff>
      <xdr:row>42</xdr:row>
      <xdr:rowOff>145792</xdr:rowOff>
    </xdr:to>
    <xdr:sp macro="" textlink="Sheet2!$J$56">
      <xdr:nvSpPr>
        <xdr:cNvPr id="94" name="Flowchart: Alternate Process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1606201" y="7581124"/>
          <a:ext cx="2186862" cy="728954"/>
        </a:xfrm>
        <a:prstGeom prst="flowChartAlternateProcess">
          <a:avLst/>
        </a:prstGeom>
        <a:solidFill>
          <a:schemeClr val="bg2">
            <a:lumMod val="50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DE47235-FBA2-43B7-AA32-7FE56D30E037}" type="TxLink">
            <a:rPr lang="en-US" sz="2400" b="1" i="1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164005</a:t>
          </a:fld>
          <a:endParaRPr lang="en-US" sz="2400" b="1" i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36</xdr:col>
      <xdr:colOff>6455</xdr:colOff>
      <xdr:row>46</xdr:row>
      <xdr:rowOff>117732</xdr:rowOff>
    </xdr:from>
    <xdr:to>
      <xdr:col>40</xdr:col>
      <xdr:colOff>525911</xdr:colOff>
      <xdr:row>48</xdr:row>
      <xdr:rowOff>109944</xdr:rowOff>
    </xdr:to>
    <xdr:sp macro="" textlink="">
      <xdr:nvSpPr>
        <xdr:cNvPr id="103" name="Rectangle: Rounded Corners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2129036" y="8598055"/>
          <a:ext cx="2977520" cy="360921"/>
        </a:xfrm>
        <a:prstGeom prst="roundRect">
          <a:avLst/>
        </a:prstGeom>
        <a:noFill/>
        <a:ln>
          <a:noFill/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 b="0" i="0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Jenis</a:t>
          </a:r>
          <a:r>
            <a:rPr lang="en-US" sz="1800" b="0" i="0" baseline="0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Produk</a:t>
          </a:r>
          <a:endParaRPr lang="en-US" sz="1800" b="0" i="0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36</xdr:col>
      <xdr:colOff>225151</xdr:colOff>
      <xdr:row>48</xdr:row>
      <xdr:rowOff>37710</xdr:rowOff>
    </xdr:from>
    <xdr:to>
      <xdr:col>39</xdr:col>
      <xdr:colOff>69659</xdr:colOff>
      <xdr:row>50</xdr:row>
      <xdr:rowOff>66027</xdr:rowOff>
    </xdr:to>
    <xdr:sp macro="" textlink="Sheet2!$R$4">
      <xdr:nvSpPr>
        <xdr:cNvPr id="104" name="TextBox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 txBox="1"/>
      </xdr:nvSpPr>
      <xdr:spPr>
        <a:xfrm>
          <a:off x="22347732" y="8886742"/>
          <a:ext cx="1688056" cy="397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6AF312D-74B5-4211-9722-76B4F2486AEF}" type="TxLink">
            <a:rPr lang="en-US" sz="1800" b="1" i="1" u="none" strike="noStrike">
              <a:solidFill>
                <a:schemeClr val="tx1">
                  <a:lumMod val="95000"/>
                  <a:lumOff val="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pPr/>
            <a:t>Nasional</a:t>
          </a:fld>
          <a:endParaRPr lang="en-US" sz="3600" b="1" i="1">
            <a:solidFill>
              <a:schemeClr val="tx1">
                <a:lumMod val="95000"/>
                <a:lumOff val="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42</xdr:col>
      <xdr:colOff>128863</xdr:colOff>
      <xdr:row>29</xdr:row>
      <xdr:rowOff>68664</xdr:rowOff>
    </xdr:from>
    <xdr:to>
      <xdr:col>45</xdr:col>
      <xdr:colOff>478760</xdr:colOff>
      <xdr:row>33</xdr:row>
      <xdr:rowOff>30098</xdr:rowOff>
    </xdr:to>
    <xdr:sp macro="" textlink="Sheet2!$T$6">
      <xdr:nvSpPr>
        <xdr:cNvPr id="105" name="Flowchart: Alternate Process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>
        <a:xfrm>
          <a:off x="25938540" y="5414954"/>
          <a:ext cx="2193446" cy="698854"/>
        </a:xfrm>
        <a:prstGeom prst="flowChartAlternateProcess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5562AD-FB6E-4D15-80BF-6564580F6DE3}" type="TxLink">
            <a:rPr lang="en-US" sz="2400" b="1" i="0" u="none" strike="noStrike">
              <a:solidFill>
                <a:schemeClr val="bg1"/>
              </a:solidFill>
              <a:latin typeface="Castellar" panose="020A0402060406010301" pitchFamily="18" charset="0"/>
              <a:cs typeface="Calibri"/>
            </a:rPr>
            <a:pPr algn="ctr"/>
            <a:t>2022</a:t>
          </a:fld>
          <a:endParaRPr lang="en-US" sz="4800" b="1" i="0">
            <a:solidFill>
              <a:schemeClr val="bg1"/>
            </a:solidFill>
            <a:latin typeface="Castellar" panose="020A0402060406010301" pitchFamily="18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41</xdr:col>
      <xdr:colOff>344521</xdr:colOff>
      <xdr:row>39</xdr:row>
      <xdr:rowOff>98537</xdr:rowOff>
    </xdr:from>
    <xdr:to>
      <xdr:col>45</xdr:col>
      <xdr:colOff>263457</xdr:colOff>
      <xdr:row>43</xdr:row>
      <xdr:rowOff>6863</xdr:rowOff>
    </xdr:to>
    <xdr:sp macro="" textlink="Sheet2!$R$8">
      <xdr:nvSpPr>
        <xdr:cNvPr id="107" name="TextBox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 txBox="1"/>
      </xdr:nvSpPr>
      <xdr:spPr>
        <a:xfrm>
          <a:off x="25271649" y="7211888"/>
          <a:ext cx="2350851" cy="637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F4ED4AF-0D10-44BF-849D-06998FF85FFC}" type="TxLink">
            <a:rPr lang="en-US" sz="3200" b="1" i="0" u="none" strike="noStrike">
              <a:solidFill>
                <a:srgbClr val="700000"/>
              </a:solidFill>
              <a:latin typeface="Castellar" panose="020A0402060406010301" pitchFamily="18" charset="0"/>
              <a:cs typeface="Calibri"/>
            </a:rPr>
            <a:pPr algn="ctr"/>
            <a:t>PT SBI</a:t>
          </a:fld>
          <a:endParaRPr lang="en-US" sz="8800" b="1">
            <a:solidFill>
              <a:srgbClr val="700000"/>
            </a:solidFill>
            <a:latin typeface="Castellar" panose="020A0402060406010301" pitchFamily="18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6</xdr:row>
      <xdr:rowOff>28575</xdr:rowOff>
    </xdr:from>
    <xdr:to>
      <xdr:col>3</xdr:col>
      <xdr:colOff>981075</xdr:colOff>
      <xdr:row>7</xdr:row>
      <xdr:rowOff>190500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38100" y="847725"/>
          <a:ext cx="942975" cy="3714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</xdr:row>
          <xdr:rowOff>69850</xdr:rowOff>
        </xdr:from>
        <xdr:to>
          <xdr:col>14</xdr:col>
          <xdr:colOff>88900</xdr:colOff>
          <xdr:row>3</xdr:row>
          <xdr:rowOff>190500</xdr:rowOff>
        </xdr:to>
        <xdr:sp macro="" textlink="">
          <xdr:nvSpPr>
            <xdr:cNvPr id="4097" name="saveclinke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374650</xdr:colOff>
          <xdr:row>2</xdr:row>
          <xdr:rowOff>69850</xdr:rowOff>
        </xdr:from>
        <xdr:to>
          <xdr:col>16</xdr:col>
          <xdr:colOff>114300</xdr:colOff>
          <xdr:row>3</xdr:row>
          <xdr:rowOff>184150</xdr:rowOff>
        </xdr:to>
        <xdr:sp macro="" textlink="">
          <xdr:nvSpPr>
            <xdr:cNvPr id="4098" name="dashboard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6</xdr:row>
      <xdr:rowOff>28575</xdr:rowOff>
    </xdr:from>
    <xdr:to>
      <xdr:col>3</xdr:col>
      <xdr:colOff>981075</xdr:colOff>
      <xdr:row>7</xdr:row>
      <xdr:rowOff>190500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CxnSpPr/>
      </xdr:nvCxnSpPr>
      <xdr:spPr>
        <a:xfrm>
          <a:off x="38100" y="1000125"/>
          <a:ext cx="942975" cy="3714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298450</xdr:colOff>
          <xdr:row>2</xdr:row>
          <xdr:rowOff>88900</xdr:rowOff>
        </xdr:from>
        <xdr:to>
          <xdr:col>14</xdr:col>
          <xdr:colOff>247650</xdr:colOff>
          <xdr:row>4</xdr:row>
          <xdr:rowOff>12700</xdr:rowOff>
        </xdr:to>
        <xdr:sp macro="" textlink="">
          <xdr:nvSpPr>
            <xdr:cNvPr id="2055" name="savecemen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2</xdr:row>
          <xdr:rowOff>88900</xdr:rowOff>
        </xdr:from>
        <xdr:to>
          <xdr:col>16</xdr:col>
          <xdr:colOff>361950</xdr:colOff>
          <xdr:row>4</xdr:row>
          <xdr:rowOff>0</xdr:rowOff>
        </xdr:to>
        <xdr:sp macro="" textlink="">
          <xdr:nvSpPr>
            <xdr:cNvPr id="2056" name="dashboard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4</xdr:row>
          <xdr:rowOff>0</xdr:rowOff>
        </xdr:from>
        <xdr:to>
          <xdr:col>37</xdr:col>
          <xdr:colOff>285750</xdr:colOff>
          <xdr:row>5</xdr:row>
          <xdr:rowOff>69850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3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146050</xdr:colOff>
          <xdr:row>56</xdr:row>
          <xdr:rowOff>19050</xdr:rowOff>
        </xdr:from>
        <xdr:to>
          <xdr:col>7</xdr:col>
          <xdr:colOff>260350</xdr:colOff>
          <xdr:row>57</xdr:row>
          <xdr:rowOff>88900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393700</xdr:colOff>
          <xdr:row>5</xdr:row>
          <xdr:rowOff>57150</xdr:rowOff>
        </xdr:from>
        <xdr:to>
          <xdr:col>16</xdr:col>
          <xdr:colOff>190500</xdr:colOff>
          <xdr:row>6</xdr:row>
          <xdr:rowOff>184150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0</xdr:rowOff>
        </xdr:from>
        <xdr:to>
          <xdr:col>10</xdr:col>
          <xdr:colOff>247650</xdr:colOff>
          <xdr:row>3</xdr:row>
          <xdr:rowOff>31750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5.xml"/><Relationship Id="rId5" Type="http://schemas.openxmlformats.org/officeDocument/2006/relationships/image" Target="../media/image12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14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EBE90-C751-4583-9E02-5490A2A9CA9E}">
  <sheetPr codeName="Sheet1">
    <tabColor theme="8" tint="0.39997558519241921"/>
  </sheetPr>
  <dimension ref="A1"/>
  <sheetViews>
    <sheetView tabSelected="1" zoomScale="40" zoomScaleNormal="40" workbookViewId="0">
      <selection activeCell="AD23" sqref="AD23"/>
    </sheetView>
  </sheetViews>
  <sheetFormatPr defaultColWidth="9.1796875" defaultRowHeight="14.5" x14ac:dyDescent="0.35"/>
  <cols>
    <col min="1" max="16384" width="9.1796875" style="1"/>
  </cols>
  <sheetData/>
  <sheetProtection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mbtahun">
          <controlPr defaultSize="0" autoLine="0" linkedCell="outputTHN" listFillRange="tahun" r:id="rId4">
            <anchor moveWithCells="1">
              <from>
                <xdr:col>20</xdr:col>
                <xdr:colOff>114300</xdr:colOff>
                <xdr:row>2</xdr:row>
                <xdr:rowOff>57150</xdr:rowOff>
              </from>
              <to>
                <xdr:col>22</xdr:col>
                <xdr:colOff>31750</xdr:colOff>
                <xdr:row>3</xdr:row>
                <xdr:rowOff>146050</xdr:rowOff>
              </to>
            </anchor>
          </controlPr>
        </control>
      </mc:Choice>
      <mc:Fallback>
        <control shapeId="1026" r:id="rId3" name="cmbtahun"/>
      </mc:Fallback>
    </mc:AlternateContent>
    <mc:AlternateContent xmlns:mc="http://schemas.openxmlformats.org/markup-compatibility/2006">
      <mc:Choice Requires="x14">
        <control shapeId="1025" r:id="rId5" name="cmbnegara">
          <controlPr defaultSize="0" autoLine="0" linkedCell="outputnegara" listFillRange="Negara" r:id="rId6">
            <anchor moveWithCells="1">
              <from>
                <xdr:col>32</xdr:col>
                <xdr:colOff>171450</xdr:colOff>
                <xdr:row>2</xdr:row>
                <xdr:rowOff>38100</xdr:rowOff>
              </from>
              <to>
                <xdr:col>35</xdr:col>
                <xdr:colOff>31750</xdr:colOff>
                <xdr:row>3</xdr:row>
                <xdr:rowOff>146050</xdr:rowOff>
              </to>
            </anchor>
          </controlPr>
        </control>
      </mc:Choice>
      <mc:Fallback>
        <control shapeId="1025" r:id="rId5" name="cmbnegara"/>
      </mc:Fallback>
    </mc:AlternateContent>
    <mc:AlternateContent xmlns:mc="http://schemas.openxmlformats.org/markup-compatibility/2006">
      <mc:Choice Requires="x14">
        <control shapeId="1027" r:id="rId7" name="cmbpt">
          <controlPr defaultSize="0" autoLine="0" linkedCell="PT" listFillRange="perusahaan" r:id="rId8">
            <anchor moveWithCells="1">
              <from>
                <xdr:col>16</xdr:col>
                <xdr:colOff>361950</xdr:colOff>
                <xdr:row>2</xdr:row>
                <xdr:rowOff>57150</xdr:rowOff>
              </from>
              <to>
                <xdr:col>19</xdr:col>
                <xdr:colOff>222250</xdr:colOff>
                <xdr:row>3</xdr:row>
                <xdr:rowOff>165100</xdr:rowOff>
              </to>
            </anchor>
          </controlPr>
        </control>
      </mc:Choice>
      <mc:Fallback>
        <control shapeId="1027" r:id="rId7" name="cmb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E662B-D08E-4232-B49C-D5400B34A0C6}">
  <sheetPr codeName="Sheet3">
    <tabColor rgb="FFE36157"/>
  </sheetPr>
  <dimension ref="A1:CD27"/>
  <sheetViews>
    <sheetView workbookViewId="0">
      <pane ySplit="8" topLeftCell="A9" activePane="bottomLeft" state="frozen"/>
      <selection pane="bottomLeft" activeCell="J11" sqref="J11"/>
    </sheetView>
  </sheetViews>
  <sheetFormatPr defaultColWidth="9.1796875" defaultRowHeight="14.5" x14ac:dyDescent="0.35"/>
  <cols>
    <col min="1" max="1" width="6" style="3" hidden="1" customWidth="1"/>
    <col min="2" max="2" width="6.81640625" style="3" hidden="1" customWidth="1"/>
    <col min="3" max="3" width="8.81640625" style="3" hidden="1" customWidth="1"/>
    <col min="4" max="4" width="15.453125" style="3" customWidth="1"/>
    <col min="5" max="5" width="9.81640625" style="3" customWidth="1"/>
    <col min="6" max="6" width="11" style="3" bestFit="1" customWidth="1"/>
    <col min="7" max="7" width="10.453125" style="3" customWidth="1"/>
    <col min="8" max="9" width="9.1796875" style="3"/>
    <col min="10" max="10" width="13.54296875" style="3" customWidth="1"/>
    <col min="11" max="13" width="9.1796875" style="3"/>
    <col min="14" max="14" width="9.7265625" style="3" bestFit="1" customWidth="1"/>
    <col min="15" max="15" width="9.1796875" style="3"/>
    <col min="16" max="16" width="11" style="3" bestFit="1" customWidth="1"/>
    <col min="17" max="17" width="9.1796875" style="3"/>
    <col min="18" max="18" width="11" style="3" bestFit="1" customWidth="1"/>
    <col min="19" max="19" width="9.1796875" style="3"/>
    <col min="20" max="20" width="9.7265625" style="3" bestFit="1" customWidth="1"/>
    <col min="21" max="16384" width="9.1796875" style="3"/>
  </cols>
  <sheetData>
    <row r="1" spans="1:82" ht="6" customHeight="1" x14ac:dyDescent="0.35"/>
    <row r="2" spans="1:82" ht="6" customHeight="1" x14ac:dyDescent="0.35"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</row>
    <row r="3" spans="1:82" ht="15.5" x14ac:dyDescent="0.35">
      <c r="D3" s="40" t="s">
        <v>41</v>
      </c>
      <c r="E3" s="40"/>
      <c r="F3" s="40"/>
      <c r="G3" s="10"/>
      <c r="H3" s="10"/>
      <c r="I3" s="11" t="s">
        <v>31</v>
      </c>
      <c r="J3" s="11" t="s">
        <v>39</v>
      </c>
      <c r="K3" s="12" t="s">
        <v>2</v>
      </c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</row>
    <row r="4" spans="1:82" ht="15.5" x14ac:dyDescent="0.35">
      <c r="D4" s="40"/>
      <c r="E4" s="40"/>
      <c r="F4" s="40"/>
      <c r="G4" s="10"/>
      <c r="H4" s="10"/>
      <c r="I4" s="13">
        <v>1</v>
      </c>
      <c r="J4" s="14" t="s">
        <v>19</v>
      </c>
      <c r="K4" s="26">
        <v>2017</v>
      </c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CD4" s="25" t="s">
        <v>43</v>
      </c>
    </row>
    <row r="5" spans="1:82" x14ac:dyDescent="0.35"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</row>
    <row r="6" spans="1:82" ht="15" thickBot="1" x14ac:dyDescent="0.4">
      <c r="D6" s="3" t="s">
        <v>42</v>
      </c>
      <c r="E6" s="3" t="s">
        <v>42</v>
      </c>
      <c r="F6" s="3" t="s">
        <v>42</v>
      </c>
      <c r="G6" s="3" t="s">
        <v>42</v>
      </c>
      <c r="H6" s="3" t="s">
        <v>42</v>
      </c>
      <c r="I6" s="3" t="s">
        <v>42</v>
      </c>
      <c r="J6" s="3" t="s">
        <v>42</v>
      </c>
      <c r="K6" s="3" t="s">
        <v>42</v>
      </c>
      <c r="L6" s="3" t="s">
        <v>42</v>
      </c>
      <c r="M6" s="3" t="s">
        <v>42</v>
      </c>
      <c r="N6" s="3" t="s">
        <v>42</v>
      </c>
      <c r="O6" s="3" t="s">
        <v>42</v>
      </c>
      <c r="P6" s="3" t="s">
        <v>42</v>
      </c>
      <c r="Q6" s="3" t="s">
        <v>42</v>
      </c>
      <c r="R6" s="3" t="s">
        <v>42</v>
      </c>
      <c r="S6" s="3" t="s">
        <v>42</v>
      </c>
      <c r="T6" s="3" t="s">
        <v>42</v>
      </c>
      <c r="U6" s="3" t="s">
        <v>42</v>
      </c>
      <c r="V6" s="3" t="s">
        <v>42</v>
      </c>
      <c r="W6" s="3" t="s">
        <v>42</v>
      </c>
      <c r="X6" s="3" t="s">
        <v>42</v>
      </c>
    </row>
    <row r="7" spans="1:82" ht="16" thickTop="1" x14ac:dyDescent="0.35">
      <c r="A7" s="37" t="s">
        <v>39</v>
      </c>
      <c r="B7" s="37" t="s">
        <v>2</v>
      </c>
      <c r="C7" s="37" t="s">
        <v>40</v>
      </c>
      <c r="D7" s="8" t="s">
        <v>37</v>
      </c>
      <c r="E7" s="42" t="s">
        <v>32</v>
      </c>
      <c r="F7" s="41"/>
      <c r="G7" s="38" t="s">
        <v>135</v>
      </c>
      <c r="H7" s="41"/>
      <c r="I7" s="38" t="s">
        <v>133</v>
      </c>
      <c r="J7" s="41"/>
      <c r="K7" s="38" t="s">
        <v>134</v>
      </c>
      <c r="L7" s="41"/>
      <c r="M7" s="38" t="s">
        <v>33</v>
      </c>
      <c r="N7" s="41"/>
      <c r="O7" s="38" t="s">
        <v>34</v>
      </c>
      <c r="P7" s="41"/>
      <c r="Q7" s="38" t="s">
        <v>136</v>
      </c>
      <c r="R7" s="41"/>
      <c r="S7" s="38" t="s">
        <v>74</v>
      </c>
      <c r="T7" s="41"/>
      <c r="U7" s="38" t="s">
        <v>137</v>
      </c>
      <c r="V7" s="41"/>
      <c r="W7" s="38" t="s">
        <v>138</v>
      </c>
      <c r="X7" s="39"/>
    </row>
    <row r="8" spans="1:82" ht="16" thickBot="1" x14ac:dyDescent="0.4">
      <c r="A8" s="37"/>
      <c r="B8" s="37"/>
      <c r="C8" s="37"/>
      <c r="D8" s="7" t="s">
        <v>38</v>
      </c>
      <c r="E8" s="4" t="s">
        <v>35</v>
      </c>
      <c r="F8" s="4" t="s">
        <v>36</v>
      </c>
      <c r="G8" s="5" t="s">
        <v>35</v>
      </c>
      <c r="H8" s="5" t="s">
        <v>36</v>
      </c>
      <c r="I8" s="5" t="s">
        <v>35</v>
      </c>
      <c r="J8" s="5" t="s">
        <v>36</v>
      </c>
      <c r="K8" s="5" t="s">
        <v>35</v>
      </c>
      <c r="L8" s="6" t="s">
        <v>36</v>
      </c>
      <c r="M8" s="4" t="s">
        <v>35</v>
      </c>
      <c r="N8" s="4" t="s">
        <v>36</v>
      </c>
      <c r="O8" s="4" t="s">
        <v>35</v>
      </c>
      <c r="P8" s="5" t="s">
        <v>36</v>
      </c>
      <c r="Q8" s="4" t="s">
        <v>35</v>
      </c>
      <c r="R8" s="6" t="s">
        <v>36</v>
      </c>
      <c r="S8" s="4" t="s">
        <v>35</v>
      </c>
      <c r="T8" s="6" t="s">
        <v>36</v>
      </c>
      <c r="U8" s="4" t="s">
        <v>35</v>
      </c>
      <c r="V8" s="5" t="s">
        <v>36</v>
      </c>
      <c r="W8" s="4" t="s">
        <v>35</v>
      </c>
      <c r="X8" s="5" t="s">
        <v>36</v>
      </c>
    </row>
    <row r="9" spans="1:82" ht="16" thickTop="1" x14ac:dyDescent="0.35">
      <c r="A9" s="3" t="str">
        <f>$J$4</f>
        <v>Februari</v>
      </c>
      <c r="B9" s="3">
        <f>$K$4</f>
        <v>2017</v>
      </c>
      <c r="C9" s="3" t="str">
        <f>$CD$4</f>
        <v>Clinker</v>
      </c>
      <c r="D9" s="27"/>
      <c r="E9" s="16"/>
      <c r="F9" s="28"/>
      <c r="G9" s="16"/>
      <c r="H9" s="16"/>
      <c r="I9" s="16"/>
      <c r="J9" s="16"/>
      <c r="K9" s="16"/>
      <c r="L9" s="16"/>
      <c r="M9" s="28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</row>
    <row r="10" spans="1:82" ht="15.5" x14ac:dyDescent="0.35">
      <c r="D10" s="27"/>
      <c r="E10" s="16"/>
      <c r="F10" s="28"/>
      <c r="G10" s="16"/>
      <c r="H10" s="16"/>
      <c r="I10" s="16"/>
      <c r="J10" s="16"/>
      <c r="K10" s="16"/>
      <c r="L10" s="16"/>
      <c r="M10" s="28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</row>
    <row r="11" spans="1:82" ht="15.5" x14ac:dyDescent="0.35">
      <c r="D11" s="27"/>
      <c r="E11" s="17"/>
      <c r="F11" s="29"/>
      <c r="G11" s="17"/>
      <c r="H11" s="17"/>
      <c r="I11" s="17"/>
      <c r="J11" s="17"/>
      <c r="K11" s="17"/>
      <c r="L11" s="17"/>
      <c r="M11" s="29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</row>
    <row r="12" spans="1:82" ht="15.5" x14ac:dyDescent="0.35">
      <c r="D12" s="27"/>
      <c r="E12" s="17"/>
      <c r="F12" s="29"/>
      <c r="G12" s="17"/>
      <c r="H12" s="17"/>
      <c r="I12" s="17"/>
      <c r="J12" s="17"/>
      <c r="K12" s="17"/>
      <c r="L12" s="17"/>
      <c r="M12" s="29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</row>
    <row r="13" spans="1:82" ht="15.5" x14ac:dyDescent="0.35">
      <c r="D13" s="27"/>
      <c r="E13" s="17"/>
      <c r="F13" s="29"/>
      <c r="G13" s="17"/>
      <c r="H13" s="17"/>
      <c r="I13" s="17"/>
      <c r="J13" s="17"/>
      <c r="K13" s="17"/>
      <c r="L13" s="17"/>
      <c r="M13" s="29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</row>
    <row r="14" spans="1:82" ht="15.5" x14ac:dyDescent="0.35">
      <c r="D14" s="27"/>
      <c r="E14" s="17"/>
      <c r="F14" s="29"/>
      <c r="G14" s="17"/>
      <c r="H14" s="17"/>
      <c r="I14" s="17"/>
      <c r="J14" s="17"/>
      <c r="K14" s="17"/>
      <c r="L14" s="17"/>
      <c r="M14" s="29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</row>
    <row r="15" spans="1:82" ht="15.5" x14ac:dyDescent="0.35">
      <c r="D15" s="27"/>
      <c r="E15" s="17"/>
      <c r="F15" s="29"/>
      <c r="G15" s="17"/>
      <c r="H15" s="17"/>
      <c r="I15" s="17"/>
      <c r="J15" s="17"/>
      <c r="K15" s="17"/>
      <c r="L15" s="17"/>
      <c r="M15" s="29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</row>
    <row r="16" spans="1:82" ht="15.5" x14ac:dyDescent="0.35">
      <c r="D16" s="27"/>
      <c r="E16" s="17"/>
      <c r="F16" s="29"/>
      <c r="G16" s="17"/>
      <c r="H16" s="17"/>
      <c r="I16" s="17"/>
      <c r="J16" s="17"/>
      <c r="K16" s="17"/>
      <c r="L16" s="17"/>
      <c r="M16" s="29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</row>
    <row r="17" spans="4:24" ht="15.5" x14ac:dyDescent="0.35">
      <c r="D17" s="27"/>
      <c r="E17" s="17"/>
      <c r="F17" s="29"/>
      <c r="G17" s="17"/>
      <c r="H17" s="17"/>
      <c r="I17" s="17"/>
      <c r="J17" s="17"/>
      <c r="K17" s="17"/>
      <c r="L17" s="17"/>
      <c r="M17" s="29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4:24" ht="15.5" x14ac:dyDescent="0.35">
      <c r="D18" s="27"/>
      <c r="E18" s="17"/>
      <c r="F18" s="29"/>
      <c r="G18" s="17"/>
      <c r="H18" s="17"/>
      <c r="I18" s="17"/>
      <c r="J18" s="17"/>
      <c r="K18" s="17"/>
      <c r="L18" s="17"/>
      <c r="M18" s="29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</row>
    <row r="19" spans="4:24" ht="15.5" x14ac:dyDescent="0.35">
      <c r="D19" s="27"/>
      <c r="E19" s="17"/>
      <c r="F19" s="29"/>
      <c r="G19" s="17"/>
      <c r="H19" s="17"/>
      <c r="I19" s="17"/>
      <c r="J19" s="17"/>
      <c r="K19" s="17"/>
      <c r="L19" s="17"/>
      <c r="M19" s="29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</row>
    <row r="20" spans="4:24" ht="15.5" x14ac:dyDescent="0.35">
      <c r="D20" s="27"/>
      <c r="E20" s="17"/>
      <c r="F20" s="29"/>
      <c r="G20" s="17"/>
      <c r="H20" s="17"/>
      <c r="I20" s="17"/>
      <c r="J20" s="17"/>
      <c r="K20" s="17"/>
      <c r="L20" s="17"/>
      <c r="M20" s="29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</row>
    <row r="21" spans="4:24" ht="15.5" x14ac:dyDescent="0.35">
      <c r="D21" s="27"/>
      <c r="E21" s="17"/>
      <c r="F21" s="29"/>
      <c r="G21" s="17"/>
      <c r="H21" s="17"/>
      <c r="I21" s="17"/>
      <c r="J21" s="17"/>
      <c r="K21" s="17"/>
      <c r="L21" s="17"/>
      <c r="M21" s="29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</row>
    <row r="22" spans="4:24" ht="15.5" x14ac:dyDescent="0.35">
      <c r="D22" s="27"/>
      <c r="E22" s="17"/>
      <c r="F22" s="29"/>
      <c r="G22" s="17"/>
      <c r="H22" s="17"/>
      <c r="I22" s="17"/>
      <c r="J22" s="17"/>
      <c r="K22" s="17"/>
      <c r="L22" s="17"/>
      <c r="M22" s="29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</row>
    <row r="23" spans="4:24" ht="15.5" x14ac:dyDescent="0.35">
      <c r="D23" s="27"/>
      <c r="E23" s="17"/>
      <c r="F23" s="29"/>
      <c r="G23" s="17"/>
      <c r="H23" s="17"/>
      <c r="I23" s="17"/>
      <c r="J23" s="17"/>
      <c r="K23" s="17"/>
      <c r="L23" s="17"/>
      <c r="M23" s="29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</row>
    <row r="24" spans="4:24" ht="15.5" x14ac:dyDescent="0.35">
      <c r="D24" s="27"/>
      <c r="E24" s="17"/>
      <c r="F24" s="29"/>
      <c r="G24" s="17"/>
      <c r="H24" s="17"/>
      <c r="I24" s="17"/>
      <c r="J24" s="17"/>
      <c r="K24" s="17"/>
      <c r="L24" s="17"/>
      <c r="M24" s="29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</row>
    <row r="25" spans="4:24" ht="15.5" x14ac:dyDescent="0.35">
      <c r="D25" s="27"/>
      <c r="E25" s="17"/>
      <c r="F25" s="29"/>
      <c r="G25" s="17"/>
      <c r="H25" s="17"/>
      <c r="I25" s="17"/>
      <c r="J25" s="17"/>
      <c r="K25" s="17"/>
      <c r="L25" s="17"/>
      <c r="M25" s="29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</row>
    <row r="26" spans="4:24" ht="15.5" x14ac:dyDescent="0.35">
      <c r="D26" s="27"/>
      <c r="E26" s="17"/>
      <c r="F26" s="29"/>
      <c r="G26" s="17"/>
      <c r="H26" s="17"/>
      <c r="I26" s="17"/>
      <c r="J26" s="17"/>
      <c r="K26" s="17"/>
      <c r="L26" s="17"/>
      <c r="M26" s="29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</row>
    <row r="27" spans="4:24" ht="15.5" x14ac:dyDescent="0.35">
      <c r="D27" s="30"/>
      <c r="E27" s="31"/>
      <c r="F27" s="32"/>
      <c r="G27" s="31"/>
      <c r="H27" s="31"/>
      <c r="I27" s="31"/>
      <c r="J27" s="31"/>
      <c r="K27" s="31"/>
      <c r="L27" s="31"/>
      <c r="M27" s="32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</row>
  </sheetData>
  <mergeCells count="14">
    <mergeCell ref="A7:A8"/>
    <mergeCell ref="B7:B8"/>
    <mergeCell ref="C7:C8"/>
    <mergeCell ref="W7:X7"/>
    <mergeCell ref="D3:F4"/>
    <mergeCell ref="G7:H7"/>
    <mergeCell ref="O7:P7"/>
    <mergeCell ref="U7:V7"/>
    <mergeCell ref="E7:F7"/>
    <mergeCell ref="I7:J7"/>
    <mergeCell ref="K7:L7"/>
    <mergeCell ref="M7:N7"/>
    <mergeCell ref="Q7:R7"/>
    <mergeCell ref="S7:T7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saveclinker">
          <controlPr defaultSize="0" autoLine="0" r:id="rId5">
            <anchor moveWithCells="1">
              <from>
                <xdr:col>12</xdr:col>
                <xdr:colOff>171450</xdr:colOff>
                <xdr:row>2</xdr:row>
                <xdr:rowOff>69850</xdr:rowOff>
              </from>
              <to>
                <xdr:col>14</xdr:col>
                <xdr:colOff>19050</xdr:colOff>
                <xdr:row>4</xdr:row>
                <xdr:rowOff>0</xdr:rowOff>
              </to>
            </anchor>
          </controlPr>
        </control>
      </mc:Choice>
      <mc:Fallback>
        <control shapeId="4097" r:id="rId4" name="saveclinker"/>
      </mc:Fallback>
    </mc:AlternateContent>
    <mc:AlternateContent xmlns:mc="http://schemas.openxmlformats.org/markup-compatibility/2006">
      <mc:Choice Requires="x14">
        <control shapeId="4098" r:id="rId6" name="dashboard">
          <controlPr defaultSize="0" autoLine="0" r:id="rId7">
            <anchor moveWithCells="1">
              <from>
                <xdr:col>14</xdr:col>
                <xdr:colOff>374650</xdr:colOff>
                <xdr:row>2</xdr:row>
                <xdr:rowOff>69850</xdr:rowOff>
              </from>
              <to>
                <xdr:col>16</xdr:col>
                <xdr:colOff>50800</xdr:colOff>
                <xdr:row>3</xdr:row>
                <xdr:rowOff>184150</xdr:rowOff>
              </to>
            </anchor>
          </controlPr>
        </control>
      </mc:Choice>
      <mc:Fallback>
        <control shapeId="4098" r:id="rId6" name="dashboar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B0106A-0565-4D04-B932-252D3B3EE015}">
          <x14:formula1>
            <xm:f>AlatBantu!$A$2:$A$13</xm:f>
          </x14:formula1>
          <xm:sqref>J4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2068-B3A5-49C5-A934-EA658BB145C9}">
  <sheetPr codeName="Sheet4">
    <tabColor rgb="FFE36157"/>
  </sheetPr>
  <dimension ref="A1:CD35"/>
  <sheetViews>
    <sheetView workbookViewId="0">
      <pane ySplit="8" topLeftCell="A9" activePane="bottomLeft" state="frozen"/>
      <selection pane="bottomLeft" activeCell="D9" sqref="D9"/>
    </sheetView>
  </sheetViews>
  <sheetFormatPr defaultColWidth="9.1796875" defaultRowHeight="14.5" x14ac:dyDescent="0.35"/>
  <cols>
    <col min="1" max="3" width="9.1796875" style="3" hidden="1" customWidth="1"/>
    <col min="4" max="4" width="15.453125" style="3" customWidth="1"/>
    <col min="5" max="5" width="9.81640625" style="3" customWidth="1"/>
    <col min="6" max="6" width="9.7265625" style="3" customWidth="1"/>
    <col min="7" max="7" width="10.453125" style="3" customWidth="1"/>
    <col min="8" max="16384" width="9.1796875" style="3"/>
  </cols>
  <sheetData>
    <row r="1" spans="1:82" ht="6" customHeight="1" x14ac:dyDescent="0.35"/>
    <row r="2" spans="1:82" ht="6" customHeight="1" x14ac:dyDescent="0.35"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</row>
    <row r="3" spans="1:82" ht="15.5" x14ac:dyDescent="0.35">
      <c r="D3" s="40" t="s">
        <v>132</v>
      </c>
      <c r="E3" s="40"/>
      <c r="F3" s="40"/>
      <c r="G3" s="10"/>
      <c r="H3" s="10"/>
      <c r="I3" s="11" t="s">
        <v>31</v>
      </c>
      <c r="J3" s="11" t="s">
        <v>39</v>
      </c>
      <c r="K3" s="12" t="s">
        <v>2</v>
      </c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</row>
    <row r="4" spans="1:82" ht="15.5" x14ac:dyDescent="0.35">
      <c r="D4" s="40"/>
      <c r="E4" s="40"/>
      <c r="F4" s="40"/>
      <c r="G4" s="10"/>
      <c r="H4" s="10"/>
      <c r="I4" s="13">
        <v>1</v>
      </c>
      <c r="J4" s="14" t="s">
        <v>19</v>
      </c>
      <c r="K4" s="26">
        <v>2017</v>
      </c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CD4" s="25" t="s">
        <v>65</v>
      </c>
    </row>
    <row r="5" spans="1:82" x14ac:dyDescent="0.35"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</row>
    <row r="6" spans="1:82" ht="15" thickBot="1" x14ac:dyDescent="0.4"/>
    <row r="7" spans="1:82" ht="16" thickTop="1" x14ac:dyDescent="0.35">
      <c r="D7" s="8" t="s">
        <v>37</v>
      </c>
      <c r="E7" s="42" t="s">
        <v>32</v>
      </c>
      <c r="F7" s="41"/>
      <c r="G7" s="38" t="s">
        <v>135</v>
      </c>
      <c r="H7" s="41"/>
      <c r="I7" s="38" t="s">
        <v>133</v>
      </c>
      <c r="J7" s="41"/>
      <c r="K7" s="38" t="s">
        <v>134</v>
      </c>
      <c r="L7" s="41"/>
      <c r="M7" s="38" t="s">
        <v>33</v>
      </c>
      <c r="N7" s="41"/>
      <c r="O7" s="38" t="s">
        <v>34</v>
      </c>
      <c r="P7" s="41"/>
      <c r="Q7" s="38" t="s">
        <v>136</v>
      </c>
      <c r="R7" s="41"/>
      <c r="S7" s="38" t="s">
        <v>74</v>
      </c>
      <c r="T7" s="41"/>
      <c r="U7" s="38" t="s">
        <v>137</v>
      </c>
      <c r="V7" s="41"/>
      <c r="W7" s="38" t="s">
        <v>138</v>
      </c>
      <c r="X7" s="39"/>
    </row>
    <row r="8" spans="1:82" ht="16" thickBot="1" x14ac:dyDescent="0.4">
      <c r="A8" s="3" t="s">
        <v>39</v>
      </c>
      <c r="B8" s="3" t="s">
        <v>2</v>
      </c>
      <c r="C8" s="3" t="s">
        <v>40</v>
      </c>
      <c r="D8" s="7" t="s">
        <v>38</v>
      </c>
      <c r="E8" s="4" t="s">
        <v>35</v>
      </c>
      <c r="F8" s="4" t="s">
        <v>36</v>
      </c>
      <c r="G8" s="5" t="s">
        <v>35</v>
      </c>
      <c r="H8" s="5" t="s">
        <v>36</v>
      </c>
      <c r="I8" s="5" t="s">
        <v>35</v>
      </c>
      <c r="J8" s="5" t="s">
        <v>36</v>
      </c>
      <c r="K8" s="5" t="s">
        <v>35</v>
      </c>
      <c r="L8" s="6" t="s">
        <v>36</v>
      </c>
      <c r="M8" s="4" t="s">
        <v>35</v>
      </c>
      <c r="N8" s="4" t="s">
        <v>36</v>
      </c>
      <c r="O8" s="4" t="s">
        <v>35</v>
      </c>
      <c r="P8" s="5" t="s">
        <v>36</v>
      </c>
      <c r="Q8" s="4" t="s">
        <v>35</v>
      </c>
      <c r="R8" s="6" t="s">
        <v>36</v>
      </c>
      <c r="S8" s="4" t="s">
        <v>35</v>
      </c>
      <c r="T8" s="6" t="s">
        <v>36</v>
      </c>
      <c r="U8" s="4" t="s">
        <v>35</v>
      </c>
      <c r="V8" s="5" t="s">
        <v>36</v>
      </c>
      <c r="W8" s="4" t="s">
        <v>35</v>
      </c>
      <c r="X8" s="5" t="s">
        <v>36</v>
      </c>
    </row>
    <row r="9" spans="1:82" ht="16" thickTop="1" x14ac:dyDescent="0.35">
      <c r="A9" s="3" t="str">
        <f>$J$4</f>
        <v>Februari</v>
      </c>
      <c r="B9" s="3">
        <f>$K$4</f>
        <v>2017</v>
      </c>
      <c r="C9" s="3" t="str">
        <f>$CD$4</f>
        <v>Cement</v>
      </c>
      <c r="D9"/>
      <c r="E9"/>
      <c r="F9"/>
      <c r="G9"/>
      <c r="H9"/>
      <c r="I9"/>
      <c r="J9"/>
      <c r="K9"/>
      <c r="L9"/>
      <c r="M9"/>
      <c r="N9" s="15"/>
      <c r="O9"/>
      <c r="P9"/>
      <c r="Q9"/>
      <c r="R9"/>
      <c r="S9"/>
      <c r="T9"/>
      <c r="U9"/>
      <c r="V9"/>
      <c r="W9"/>
      <c r="X9"/>
    </row>
    <row r="10" spans="1:82" ht="15.5" x14ac:dyDescent="0.35">
      <c r="D10"/>
      <c r="E10"/>
      <c r="F10"/>
      <c r="G10"/>
      <c r="H10"/>
      <c r="I10"/>
      <c r="J10"/>
      <c r="K10"/>
      <c r="L10" s="15"/>
      <c r="M10"/>
      <c r="N10"/>
      <c r="O10"/>
      <c r="P10"/>
      <c r="Q10"/>
      <c r="R10"/>
      <c r="S10"/>
      <c r="T10"/>
      <c r="U10"/>
      <c r="V10"/>
      <c r="W10"/>
      <c r="X10"/>
    </row>
    <row r="11" spans="1:82" x14ac:dyDescent="0.3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</row>
    <row r="12" spans="1:82" x14ac:dyDescent="0.3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</row>
    <row r="13" spans="1:82" x14ac:dyDescent="0.35"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</row>
    <row r="14" spans="1:82" x14ac:dyDescent="0.35"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</row>
    <row r="15" spans="1:82" x14ac:dyDescent="0.35"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1:82" x14ac:dyDescent="0.35"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4:24" x14ac:dyDescent="0.35"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4:24" x14ac:dyDescent="0.35"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4:24" x14ac:dyDescent="0.35"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4:24" x14ac:dyDescent="0.35"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4:24" x14ac:dyDescent="0.35"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4:24" x14ac:dyDescent="0.3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4:24" x14ac:dyDescent="0.3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4:24" x14ac:dyDescent="0.3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4:24" x14ac:dyDescent="0.3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4:24" x14ac:dyDescent="0.3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4:24" x14ac:dyDescent="0.35"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4:24" x14ac:dyDescent="0.35"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4:24" x14ac:dyDescent="0.35"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4:24" x14ac:dyDescent="0.3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4:24" x14ac:dyDescent="0.35"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4:24" x14ac:dyDescent="0.35"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4:24" x14ac:dyDescent="0.35"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4:24" x14ac:dyDescent="0.35"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4:24" x14ac:dyDescent="0.35"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</sheetData>
  <mergeCells count="11">
    <mergeCell ref="D3:F4"/>
    <mergeCell ref="G7:H7"/>
    <mergeCell ref="O7:P7"/>
    <mergeCell ref="U7:V7"/>
    <mergeCell ref="W7:X7"/>
    <mergeCell ref="E7:F7"/>
    <mergeCell ref="I7:J7"/>
    <mergeCell ref="K7:L7"/>
    <mergeCell ref="M7:N7"/>
    <mergeCell ref="Q7:R7"/>
    <mergeCell ref="S7:T7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6" r:id="rId4" name="dashboard">
          <controlPr defaultSize="0" autoLine="0" r:id="rId5">
            <anchor moveWithCells="1">
              <from>
                <xdr:col>14</xdr:col>
                <xdr:colOff>495300</xdr:colOff>
                <xdr:row>2</xdr:row>
                <xdr:rowOff>88900</xdr:rowOff>
              </from>
              <to>
                <xdr:col>16</xdr:col>
                <xdr:colOff>298450</xdr:colOff>
                <xdr:row>4</xdr:row>
                <xdr:rowOff>6350</xdr:rowOff>
              </to>
            </anchor>
          </controlPr>
        </control>
      </mc:Choice>
      <mc:Fallback>
        <control shapeId="2056" r:id="rId4" name="dashboard"/>
      </mc:Fallback>
    </mc:AlternateContent>
    <mc:AlternateContent xmlns:mc="http://schemas.openxmlformats.org/markup-compatibility/2006">
      <mc:Choice Requires="x14">
        <control shapeId="2055" r:id="rId6" name="savecement">
          <controlPr defaultSize="0" autoLine="0" r:id="rId7">
            <anchor moveWithCells="1">
              <from>
                <xdr:col>12</xdr:col>
                <xdr:colOff>298450</xdr:colOff>
                <xdr:row>2</xdr:row>
                <xdr:rowOff>88900</xdr:rowOff>
              </from>
              <to>
                <xdr:col>14</xdr:col>
                <xdr:colOff>184150</xdr:colOff>
                <xdr:row>4</xdr:row>
                <xdr:rowOff>19050</xdr:rowOff>
              </to>
            </anchor>
          </controlPr>
        </control>
      </mc:Choice>
      <mc:Fallback>
        <control shapeId="2055" r:id="rId6" name="savecemen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9027AB-5FF5-40B4-B95B-DFF175942FB3}">
          <x14:formula1>
            <xm:f>AlatBantu!$A$2:$A$13</xm:f>
          </x14:formula1>
          <xm:sqref>J4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CDF70-B644-442B-86DF-9C2B5695EC08}">
  <sheetPr codeName="Sheet5"/>
  <dimension ref="A1:AH596"/>
  <sheetViews>
    <sheetView zoomScale="89" zoomScaleNormal="90" workbookViewId="0">
      <pane xSplit="4" ySplit="3" topLeftCell="Z4" activePane="bottomRight" state="frozen"/>
      <selection pane="topRight" activeCell="E1" sqref="E1"/>
      <selection pane="bottomLeft" activeCell="A4" sqref="A4"/>
      <selection pane="bottomRight" activeCell="D4" sqref="D4:D579"/>
    </sheetView>
  </sheetViews>
  <sheetFormatPr defaultRowHeight="14.5" x14ac:dyDescent="0.35"/>
  <cols>
    <col min="1" max="1" width="11.1796875" bestFit="1" customWidth="1"/>
    <col min="4" max="4" width="13" bestFit="1" customWidth="1"/>
    <col min="6" max="6" width="13.1796875" bestFit="1" customWidth="1"/>
    <col min="8" max="8" width="10.1796875" bestFit="1" customWidth="1"/>
    <col min="10" max="10" width="11.453125" bestFit="1" customWidth="1"/>
    <col min="12" max="12" width="10.1796875" bestFit="1" customWidth="1"/>
    <col min="14" max="14" width="10.1796875" bestFit="1" customWidth="1"/>
    <col min="16" max="16" width="10.1796875" bestFit="1" customWidth="1"/>
    <col min="18" max="18" width="11.453125" bestFit="1" customWidth="1"/>
    <col min="20" max="20" width="11.453125" bestFit="1" customWidth="1"/>
    <col min="22" max="22" width="10.1796875" bestFit="1" customWidth="1"/>
  </cols>
  <sheetData>
    <row r="1" spans="1:34" ht="15" thickBot="1" x14ac:dyDescent="0.4">
      <c r="A1" s="45" t="s">
        <v>42</v>
      </c>
      <c r="B1" s="45" t="s">
        <v>42</v>
      </c>
      <c r="C1" s="45" t="s">
        <v>42</v>
      </c>
      <c r="D1" s="45" t="s">
        <v>42</v>
      </c>
      <c r="E1" s="45" t="s">
        <v>42</v>
      </c>
      <c r="F1" s="45" t="s">
        <v>42</v>
      </c>
      <c r="G1" s="45" t="s">
        <v>42</v>
      </c>
      <c r="H1" s="45" t="s">
        <v>42</v>
      </c>
      <c r="I1" s="45" t="s">
        <v>42</v>
      </c>
      <c r="J1" s="45" t="s">
        <v>42</v>
      </c>
      <c r="K1" s="45" t="s">
        <v>42</v>
      </c>
      <c r="L1" s="45" t="s">
        <v>42</v>
      </c>
      <c r="M1" s="45" t="s">
        <v>42</v>
      </c>
      <c r="N1" s="45" t="s">
        <v>42</v>
      </c>
      <c r="O1" s="45" t="s">
        <v>42</v>
      </c>
      <c r="P1" s="45" t="s">
        <v>42</v>
      </c>
      <c r="Q1" s="45" t="s">
        <v>42</v>
      </c>
      <c r="R1" s="45" t="s">
        <v>42</v>
      </c>
      <c r="S1" s="45" t="s">
        <v>42</v>
      </c>
      <c r="T1" s="45" t="s">
        <v>42</v>
      </c>
      <c r="U1" s="45" t="s">
        <v>42</v>
      </c>
      <c r="V1" s="45" t="s">
        <v>42</v>
      </c>
      <c r="W1" s="45" t="s">
        <v>42</v>
      </c>
      <c r="X1" s="45" t="s">
        <v>42</v>
      </c>
      <c r="Y1" s="45"/>
    </row>
    <row r="2" spans="1:34" ht="16.5" thickTop="1" thickBot="1" x14ac:dyDescent="0.4">
      <c r="A2" s="46" t="s">
        <v>39</v>
      </c>
      <c r="B2" s="46" t="s">
        <v>2</v>
      </c>
      <c r="C2" s="46" t="s">
        <v>40</v>
      </c>
      <c r="D2" s="45"/>
      <c r="E2" s="47" t="s">
        <v>32</v>
      </c>
      <c r="F2" s="48"/>
      <c r="G2" s="49" t="s">
        <v>135</v>
      </c>
      <c r="H2" s="48"/>
      <c r="I2" s="49" t="s">
        <v>133</v>
      </c>
      <c r="J2" s="48"/>
      <c r="K2" s="49" t="s">
        <v>134</v>
      </c>
      <c r="L2" s="48"/>
      <c r="M2" s="49" t="s">
        <v>33</v>
      </c>
      <c r="N2" s="48"/>
      <c r="O2" s="49" t="s">
        <v>34</v>
      </c>
      <c r="P2" s="48"/>
      <c r="Q2" s="49" t="s">
        <v>136</v>
      </c>
      <c r="R2" s="48"/>
      <c r="S2" s="49" t="s">
        <v>74</v>
      </c>
      <c r="T2" s="48"/>
      <c r="U2" s="49" t="s">
        <v>137</v>
      </c>
      <c r="V2" s="48"/>
      <c r="W2" s="49" t="s">
        <v>138</v>
      </c>
      <c r="X2" s="50"/>
      <c r="Y2" s="45"/>
    </row>
    <row r="3" spans="1:34" ht="16.5" thickTop="1" thickBot="1" x14ac:dyDescent="0.4">
      <c r="A3" s="46"/>
      <c r="B3" s="46"/>
      <c r="C3" s="46"/>
      <c r="D3" s="51" t="s">
        <v>38</v>
      </c>
      <c r="E3" s="52" t="s">
        <v>35</v>
      </c>
      <c r="F3" s="53" t="s">
        <v>36</v>
      </c>
      <c r="G3" s="52" t="s">
        <v>35</v>
      </c>
      <c r="H3" s="52" t="s">
        <v>36</v>
      </c>
      <c r="I3" s="52" t="s">
        <v>35</v>
      </c>
      <c r="J3" s="52" t="s">
        <v>36</v>
      </c>
      <c r="K3" s="52" t="s">
        <v>35</v>
      </c>
      <c r="L3" s="54" t="s">
        <v>36</v>
      </c>
      <c r="M3" s="53" t="s">
        <v>35</v>
      </c>
      <c r="N3" s="53" t="s">
        <v>36</v>
      </c>
      <c r="O3" s="53" t="s">
        <v>35</v>
      </c>
      <c r="P3" s="52" t="s">
        <v>36</v>
      </c>
      <c r="Q3" s="53" t="s">
        <v>35</v>
      </c>
      <c r="R3" s="54" t="s">
        <v>36</v>
      </c>
      <c r="S3" s="53" t="s">
        <v>35</v>
      </c>
      <c r="T3" s="54" t="s">
        <v>36</v>
      </c>
      <c r="U3" s="53" t="s">
        <v>35</v>
      </c>
      <c r="V3" s="52" t="s">
        <v>36</v>
      </c>
      <c r="W3" s="53" t="s">
        <v>35</v>
      </c>
      <c r="X3" s="52" t="s">
        <v>36</v>
      </c>
      <c r="Y3" s="45" t="s">
        <v>32</v>
      </c>
      <c r="Z3" t="s">
        <v>135</v>
      </c>
      <c r="AA3" t="s">
        <v>133</v>
      </c>
      <c r="AB3" t="s">
        <v>134</v>
      </c>
      <c r="AC3" t="s">
        <v>33</v>
      </c>
      <c r="AD3" t="s">
        <v>34</v>
      </c>
      <c r="AE3" t="s">
        <v>136</v>
      </c>
      <c r="AF3" t="s">
        <v>74</v>
      </c>
      <c r="AG3" t="s">
        <v>137</v>
      </c>
      <c r="AH3" t="s">
        <v>138</v>
      </c>
    </row>
    <row r="4" spans="1:34" ht="16" thickTop="1" x14ac:dyDescent="0.35">
      <c r="A4" s="45" t="s">
        <v>19</v>
      </c>
      <c r="B4" s="45">
        <v>2016</v>
      </c>
      <c r="C4" s="45" t="s">
        <v>43</v>
      </c>
      <c r="D4" s="45" t="s">
        <v>44</v>
      </c>
      <c r="E4" s="55"/>
      <c r="F4" s="55"/>
      <c r="G4" s="55"/>
      <c r="H4" s="55"/>
      <c r="I4" s="55"/>
      <c r="J4" s="55"/>
      <c r="K4" s="55"/>
      <c r="L4" s="55"/>
      <c r="M4" s="55"/>
      <c r="N4" s="56">
        <v>34575</v>
      </c>
      <c r="O4" s="55"/>
      <c r="P4" s="55"/>
      <c r="Q4" s="55"/>
      <c r="R4" s="55"/>
      <c r="S4" s="55"/>
      <c r="T4" s="55"/>
      <c r="U4" s="55"/>
      <c r="V4" s="55"/>
      <c r="W4" s="55"/>
      <c r="X4" s="55"/>
      <c r="Y4" s="55">
        <f>SUM(E4:F4)</f>
        <v>0</v>
      </c>
      <c r="Z4">
        <f>SUM(G4:H4)</f>
        <v>0</v>
      </c>
      <c r="AA4">
        <f>SUM(I4:J4)</f>
        <v>0</v>
      </c>
      <c r="AB4">
        <f>SUM(K4:L4)</f>
        <v>0</v>
      </c>
      <c r="AC4">
        <f>SUM(M4:N4)</f>
        <v>34575</v>
      </c>
      <c r="AD4">
        <f>SUM(O4:P4)</f>
        <v>0</v>
      </c>
      <c r="AE4">
        <f>SUM(Q4:R4)</f>
        <v>0</v>
      </c>
      <c r="AF4">
        <f>SUM(S4:T4)</f>
        <v>0</v>
      </c>
      <c r="AG4">
        <f>SUM(U4:V4)</f>
        <v>0</v>
      </c>
      <c r="AH4">
        <f>SUM(W4:X4)</f>
        <v>0</v>
      </c>
    </row>
    <row r="5" spans="1:34" ht="15.5" x14ac:dyDescent="0.35">
      <c r="A5" s="45" t="s">
        <v>19</v>
      </c>
      <c r="B5" s="45">
        <v>2016</v>
      </c>
      <c r="C5" s="45" t="s">
        <v>43</v>
      </c>
      <c r="D5" s="45" t="s">
        <v>45</v>
      </c>
      <c r="E5" s="55"/>
      <c r="F5" s="55"/>
      <c r="G5" s="55"/>
      <c r="H5" s="55"/>
      <c r="I5" s="55"/>
      <c r="J5" s="55"/>
      <c r="K5" s="55"/>
      <c r="L5" s="56">
        <v>24981.781999999999</v>
      </c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>
        <f t="shared" ref="Y5:Y68" si="0">SUM(E5:F5)</f>
        <v>0</v>
      </c>
      <c r="Z5">
        <f t="shared" ref="Z5:Z68" si="1">SUM(G5:H5)</f>
        <v>0</v>
      </c>
      <c r="AA5">
        <f t="shared" ref="AA5:AA68" si="2">SUM(I5:J5)</f>
        <v>0</v>
      </c>
      <c r="AB5">
        <f t="shared" ref="AB5:AB68" si="3">SUM(K5:L5)</f>
        <v>24981.781999999999</v>
      </c>
      <c r="AC5">
        <f t="shared" ref="AC5:AC68" si="4">SUM(M5:N5)</f>
        <v>0</v>
      </c>
      <c r="AD5">
        <f t="shared" ref="AD5:AD68" si="5">SUM(O5:P5)</f>
        <v>0</v>
      </c>
      <c r="AE5">
        <f t="shared" ref="AE5:AE68" si="6">SUM(Q5:R5)</f>
        <v>0</v>
      </c>
      <c r="AF5">
        <f t="shared" ref="AF5:AF68" si="7">SUM(S5:T5)</f>
        <v>0</v>
      </c>
      <c r="AG5">
        <f t="shared" ref="AG5:AG68" si="8">SUM(U5:V5)</f>
        <v>0</v>
      </c>
      <c r="AH5">
        <f t="shared" ref="AH5:AH68" si="9">SUM(W5:X5)</f>
        <v>0</v>
      </c>
    </row>
    <row r="6" spans="1:34" ht="15.5" x14ac:dyDescent="0.35">
      <c r="A6" s="45" t="s">
        <v>19</v>
      </c>
      <c r="B6" s="45">
        <v>2016</v>
      </c>
      <c r="C6" s="45" t="s">
        <v>65</v>
      </c>
      <c r="D6" s="45" t="s">
        <v>44</v>
      </c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6">
        <v>8175</v>
      </c>
      <c r="U6" s="55"/>
      <c r="V6" s="55"/>
      <c r="W6" s="55"/>
      <c r="X6" s="55"/>
      <c r="Y6" s="55">
        <f t="shared" si="0"/>
        <v>0</v>
      </c>
      <c r="Z6">
        <f t="shared" si="1"/>
        <v>0</v>
      </c>
      <c r="AA6">
        <f t="shared" si="2"/>
        <v>0</v>
      </c>
      <c r="AB6">
        <f t="shared" si="3"/>
        <v>0</v>
      </c>
      <c r="AC6">
        <f t="shared" si="4"/>
        <v>0</v>
      </c>
      <c r="AD6">
        <f t="shared" si="5"/>
        <v>0</v>
      </c>
      <c r="AE6">
        <f t="shared" si="6"/>
        <v>0</v>
      </c>
      <c r="AF6">
        <f t="shared" si="7"/>
        <v>8175</v>
      </c>
      <c r="AG6">
        <f t="shared" si="8"/>
        <v>0</v>
      </c>
      <c r="AH6">
        <f t="shared" si="9"/>
        <v>0</v>
      </c>
    </row>
    <row r="7" spans="1:34" ht="15.5" x14ac:dyDescent="0.35">
      <c r="A7" s="45" t="s">
        <v>19</v>
      </c>
      <c r="B7" s="45">
        <v>2016</v>
      </c>
      <c r="C7" s="45" t="s">
        <v>65</v>
      </c>
      <c r="D7" s="45" t="s">
        <v>45</v>
      </c>
      <c r="E7" s="55"/>
      <c r="F7" s="56">
        <v>3000</v>
      </c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>
        <f t="shared" si="0"/>
        <v>3000</v>
      </c>
      <c r="Z7">
        <f t="shared" si="1"/>
        <v>0</v>
      </c>
      <c r="AA7">
        <f t="shared" si="2"/>
        <v>0</v>
      </c>
      <c r="AB7">
        <f t="shared" si="3"/>
        <v>0</v>
      </c>
      <c r="AC7">
        <f t="shared" si="4"/>
        <v>0</v>
      </c>
      <c r="AD7">
        <f t="shared" si="5"/>
        <v>0</v>
      </c>
      <c r="AE7">
        <f t="shared" si="6"/>
        <v>0</v>
      </c>
      <c r="AF7">
        <f t="shared" si="7"/>
        <v>0</v>
      </c>
      <c r="AG7">
        <f t="shared" si="8"/>
        <v>0</v>
      </c>
      <c r="AH7">
        <f t="shared" si="9"/>
        <v>0</v>
      </c>
    </row>
    <row r="8" spans="1:34" ht="15.5" x14ac:dyDescent="0.35">
      <c r="A8" s="45" t="s">
        <v>19</v>
      </c>
      <c r="B8" s="45">
        <v>2017</v>
      </c>
      <c r="C8" s="45" t="s">
        <v>43</v>
      </c>
      <c r="D8" s="45" t="s">
        <v>44</v>
      </c>
      <c r="E8" s="55"/>
      <c r="F8" s="55">
        <v>2000</v>
      </c>
      <c r="G8" s="55">
        <v>1500</v>
      </c>
      <c r="H8" s="55"/>
      <c r="I8" s="55">
        <v>300</v>
      </c>
      <c r="J8" s="55"/>
      <c r="K8" s="55">
        <v>500</v>
      </c>
      <c r="L8" s="55"/>
      <c r="M8" s="55"/>
      <c r="N8" s="56"/>
      <c r="O8" s="55"/>
      <c r="P8" s="55"/>
      <c r="Q8" s="55"/>
      <c r="R8" s="55"/>
      <c r="S8" s="55"/>
      <c r="T8" s="55"/>
      <c r="U8" s="55"/>
      <c r="V8" s="55"/>
      <c r="W8" s="55"/>
      <c r="X8" s="55"/>
      <c r="Y8" s="55">
        <f t="shared" si="0"/>
        <v>2000</v>
      </c>
      <c r="Z8">
        <f t="shared" si="1"/>
        <v>1500</v>
      </c>
      <c r="AA8">
        <f t="shared" si="2"/>
        <v>300</v>
      </c>
      <c r="AB8">
        <f t="shared" si="3"/>
        <v>500</v>
      </c>
      <c r="AC8">
        <f t="shared" si="4"/>
        <v>0</v>
      </c>
      <c r="AD8">
        <f t="shared" si="5"/>
        <v>0</v>
      </c>
      <c r="AE8">
        <f t="shared" si="6"/>
        <v>0</v>
      </c>
      <c r="AF8">
        <f t="shared" si="7"/>
        <v>0</v>
      </c>
      <c r="AG8">
        <f t="shared" si="8"/>
        <v>0</v>
      </c>
      <c r="AH8">
        <f t="shared" si="9"/>
        <v>0</v>
      </c>
    </row>
    <row r="9" spans="1:34" ht="15.5" x14ac:dyDescent="0.35">
      <c r="A9" s="45" t="s">
        <v>19</v>
      </c>
      <c r="B9" s="45">
        <v>2017</v>
      </c>
      <c r="C9" s="45" t="s">
        <v>43</v>
      </c>
      <c r="D9" s="45" t="s">
        <v>45</v>
      </c>
      <c r="E9" s="55">
        <v>1500</v>
      </c>
      <c r="F9" s="55"/>
      <c r="G9" s="55"/>
      <c r="H9" s="55">
        <v>2000</v>
      </c>
      <c r="I9" s="55"/>
      <c r="J9" s="55"/>
      <c r="K9" s="55">
        <v>300</v>
      </c>
      <c r="L9" s="56"/>
      <c r="M9" s="55"/>
      <c r="N9" s="55"/>
      <c r="O9" s="55"/>
      <c r="P9" s="55"/>
      <c r="Q9" s="55"/>
      <c r="R9" s="55">
        <v>300</v>
      </c>
      <c r="S9" s="55"/>
      <c r="T9" s="55"/>
      <c r="U9" s="55"/>
      <c r="V9" s="55"/>
      <c r="W9" s="55"/>
      <c r="X9" s="55"/>
      <c r="Y9" s="55">
        <f t="shared" si="0"/>
        <v>1500</v>
      </c>
      <c r="Z9">
        <f t="shared" si="1"/>
        <v>2000</v>
      </c>
      <c r="AA9">
        <f t="shared" si="2"/>
        <v>0</v>
      </c>
      <c r="AB9">
        <f t="shared" si="3"/>
        <v>300</v>
      </c>
      <c r="AC9">
        <f t="shared" si="4"/>
        <v>0</v>
      </c>
      <c r="AD9">
        <f t="shared" si="5"/>
        <v>0</v>
      </c>
      <c r="AE9">
        <f t="shared" si="6"/>
        <v>300</v>
      </c>
      <c r="AF9">
        <f t="shared" si="7"/>
        <v>0</v>
      </c>
      <c r="AG9">
        <f t="shared" si="8"/>
        <v>0</v>
      </c>
      <c r="AH9">
        <f t="shared" si="9"/>
        <v>0</v>
      </c>
    </row>
    <row r="10" spans="1:34" ht="15.5" x14ac:dyDescent="0.35">
      <c r="A10" s="45" t="s">
        <v>20</v>
      </c>
      <c r="B10" s="45">
        <v>2016</v>
      </c>
      <c r="C10" s="45" t="s">
        <v>65</v>
      </c>
      <c r="D10" s="45" t="s">
        <v>46</v>
      </c>
      <c r="E10" s="55"/>
      <c r="F10" s="55"/>
      <c r="G10" s="55"/>
      <c r="H10" s="55"/>
      <c r="I10" s="55"/>
      <c r="J10" s="55"/>
      <c r="K10" s="55"/>
      <c r="L10" s="55"/>
      <c r="M10" s="55"/>
      <c r="N10" s="57"/>
      <c r="O10" s="55"/>
      <c r="P10" s="55"/>
      <c r="Q10" s="55">
        <v>2500</v>
      </c>
      <c r="R10" s="55"/>
      <c r="S10" s="55"/>
      <c r="T10" s="55"/>
      <c r="U10" s="55"/>
      <c r="V10" s="55">
        <v>208</v>
      </c>
      <c r="W10" s="55"/>
      <c r="X10" s="55"/>
      <c r="Y10" s="55">
        <f t="shared" si="0"/>
        <v>0</v>
      </c>
      <c r="Z10">
        <f t="shared" si="1"/>
        <v>0</v>
      </c>
      <c r="AA10">
        <f t="shared" si="2"/>
        <v>0</v>
      </c>
      <c r="AB10">
        <f t="shared" si="3"/>
        <v>0</v>
      </c>
      <c r="AC10">
        <f t="shared" si="4"/>
        <v>0</v>
      </c>
      <c r="AD10">
        <f t="shared" si="5"/>
        <v>0</v>
      </c>
      <c r="AE10">
        <f t="shared" si="6"/>
        <v>2500</v>
      </c>
      <c r="AF10">
        <f t="shared" si="7"/>
        <v>0</v>
      </c>
      <c r="AG10">
        <f t="shared" si="8"/>
        <v>208</v>
      </c>
      <c r="AH10">
        <f t="shared" si="9"/>
        <v>0</v>
      </c>
    </row>
    <row r="11" spans="1:34" ht="15.5" x14ac:dyDescent="0.35">
      <c r="A11" s="45" t="s">
        <v>20</v>
      </c>
      <c r="B11" s="45">
        <v>2016</v>
      </c>
      <c r="C11" s="45" t="s">
        <v>65</v>
      </c>
      <c r="D11" s="45" t="s">
        <v>46</v>
      </c>
      <c r="E11" s="55"/>
      <c r="F11" s="55"/>
      <c r="G11" s="55"/>
      <c r="H11" s="55"/>
      <c r="I11" s="55"/>
      <c r="J11" s="55">
        <v>1000</v>
      </c>
      <c r="K11" s="55">
        <v>12000</v>
      </c>
      <c r="L11" s="58"/>
      <c r="M11" s="55">
        <v>10000</v>
      </c>
      <c r="N11" s="55"/>
      <c r="O11" s="55"/>
      <c r="P11" s="55">
        <v>500</v>
      </c>
      <c r="Q11" s="55"/>
      <c r="R11" s="55"/>
      <c r="S11" s="55"/>
      <c r="T11" s="55"/>
      <c r="U11" s="55"/>
      <c r="V11" s="55"/>
      <c r="W11" s="55">
        <v>510</v>
      </c>
      <c r="X11" s="55"/>
      <c r="Y11" s="55">
        <f t="shared" si="0"/>
        <v>0</v>
      </c>
      <c r="Z11">
        <f t="shared" si="1"/>
        <v>0</v>
      </c>
      <c r="AA11">
        <f t="shared" si="2"/>
        <v>1000</v>
      </c>
      <c r="AB11">
        <f t="shared" si="3"/>
        <v>12000</v>
      </c>
      <c r="AC11">
        <f t="shared" si="4"/>
        <v>10000</v>
      </c>
      <c r="AD11">
        <f t="shared" si="5"/>
        <v>500</v>
      </c>
      <c r="AE11">
        <f t="shared" si="6"/>
        <v>0</v>
      </c>
      <c r="AF11">
        <f t="shared" si="7"/>
        <v>0</v>
      </c>
      <c r="AG11">
        <f t="shared" si="8"/>
        <v>0</v>
      </c>
      <c r="AH11">
        <f t="shared" si="9"/>
        <v>510</v>
      </c>
    </row>
    <row r="12" spans="1:34" ht="15.5" x14ac:dyDescent="0.35">
      <c r="A12" s="45" t="s">
        <v>20</v>
      </c>
      <c r="B12" s="45">
        <v>2916</v>
      </c>
      <c r="C12" s="45" t="s">
        <v>43</v>
      </c>
      <c r="D12" s="45" t="s">
        <v>139</v>
      </c>
      <c r="E12" s="55"/>
      <c r="F12" s="55"/>
      <c r="G12" s="55"/>
      <c r="H12" s="55"/>
      <c r="I12" s="55">
        <v>700</v>
      </c>
      <c r="J12" s="55"/>
      <c r="K12" s="55"/>
      <c r="L12" s="55">
        <v>200</v>
      </c>
      <c r="M12" s="55"/>
      <c r="N12" s="59"/>
      <c r="O12" s="55">
        <v>1000</v>
      </c>
      <c r="P12" s="55"/>
      <c r="Q12" s="55"/>
      <c r="R12" s="55"/>
      <c r="S12" s="55"/>
      <c r="T12" s="55"/>
      <c r="U12" s="55"/>
      <c r="V12" s="55"/>
      <c r="W12" s="55"/>
      <c r="X12" s="55"/>
      <c r="Y12" s="55">
        <f t="shared" si="0"/>
        <v>0</v>
      </c>
      <c r="Z12">
        <f t="shared" si="1"/>
        <v>0</v>
      </c>
      <c r="AA12">
        <f t="shared" si="2"/>
        <v>700</v>
      </c>
      <c r="AB12">
        <f t="shared" si="3"/>
        <v>200</v>
      </c>
      <c r="AC12">
        <f t="shared" si="4"/>
        <v>0</v>
      </c>
      <c r="AD12">
        <f t="shared" si="5"/>
        <v>1000</v>
      </c>
      <c r="AE12">
        <f t="shared" si="6"/>
        <v>0</v>
      </c>
      <c r="AF12">
        <f t="shared" si="7"/>
        <v>0</v>
      </c>
      <c r="AG12">
        <f t="shared" si="8"/>
        <v>0</v>
      </c>
      <c r="AH12">
        <f t="shared" si="9"/>
        <v>0</v>
      </c>
    </row>
    <row r="13" spans="1:34" ht="15.5" x14ac:dyDescent="0.35">
      <c r="A13" s="45" t="s">
        <v>20</v>
      </c>
      <c r="B13" s="45">
        <v>2016</v>
      </c>
      <c r="C13" s="45" t="s">
        <v>43</v>
      </c>
      <c r="D13" s="45" t="s">
        <v>139</v>
      </c>
      <c r="E13" s="55"/>
      <c r="F13" s="55"/>
      <c r="G13" s="55"/>
      <c r="H13" s="55"/>
      <c r="I13" s="55"/>
      <c r="J13" s="55"/>
      <c r="K13" s="55"/>
      <c r="L13" s="59"/>
      <c r="M13" s="55"/>
      <c r="N13" s="55">
        <v>50</v>
      </c>
      <c r="O13" s="55"/>
      <c r="P13" s="55"/>
      <c r="Q13" s="55"/>
      <c r="R13" s="55"/>
      <c r="S13" s="55"/>
      <c r="T13" s="55">
        <v>500</v>
      </c>
      <c r="U13" s="55"/>
      <c r="V13" s="55"/>
      <c r="W13" s="55"/>
      <c r="X13" s="55"/>
      <c r="Y13" s="55">
        <f t="shared" si="0"/>
        <v>0</v>
      </c>
      <c r="Z13">
        <f t="shared" si="1"/>
        <v>0</v>
      </c>
      <c r="AA13">
        <f t="shared" si="2"/>
        <v>0</v>
      </c>
      <c r="AB13">
        <f t="shared" si="3"/>
        <v>0</v>
      </c>
      <c r="AC13">
        <f t="shared" si="4"/>
        <v>50</v>
      </c>
      <c r="AD13">
        <f t="shared" si="5"/>
        <v>0</v>
      </c>
      <c r="AE13">
        <f t="shared" si="6"/>
        <v>0</v>
      </c>
      <c r="AF13">
        <f t="shared" si="7"/>
        <v>500</v>
      </c>
      <c r="AG13">
        <f t="shared" si="8"/>
        <v>0</v>
      </c>
      <c r="AH13">
        <f t="shared" si="9"/>
        <v>0</v>
      </c>
    </row>
    <row r="14" spans="1:34" ht="15.5" x14ac:dyDescent="0.35">
      <c r="A14" s="45" t="s">
        <v>20</v>
      </c>
      <c r="B14" s="45">
        <v>2017</v>
      </c>
      <c r="C14" s="45" t="s">
        <v>65</v>
      </c>
      <c r="D14" s="45" t="s">
        <v>69</v>
      </c>
      <c r="E14" s="55"/>
      <c r="F14" s="56">
        <v>34575</v>
      </c>
      <c r="G14" s="55"/>
      <c r="H14" s="55"/>
      <c r="I14" s="55"/>
      <c r="J14" s="55"/>
      <c r="K14" s="55"/>
      <c r="L14" s="55"/>
      <c r="M14" s="55"/>
      <c r="N14" s="59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>
        <f t="shared" si="0"/>
        <v>34575</v>
      </c>
      <c r="Z14">
        <f t="shared" si="1"/>
        <v>0</v>
      </c>
      <c r="AA14">
        <f t="shared" si="2"/>
        <v>0</v>
      </c>
      <c r="AB14">
        <f t="shared" si="3"/>
        <v>0</v>
      </c>
      <c r="AC14">
        <f t="shared" si="4"/>
        <v>0</v>
      </c>
      <c r="AD14">
        <f t="shared" si="5"/>
        <v>0</v>
      </c>
      <c r="AE14">
        <f t="shared" si="6"/>
        <v>0</v>
      </c>
      <c r="AF14">
        <f t="shared" si="7"/>
        <v>0</v>
      </c>
      <c r="AG14">
        <f t="shared" si="8"/>
        <v>0</v>
      </c>
      <c r="AH14">
        <f t="shared" si="9"/>
        <v>0</v>
      </c>
    </row>
    <row r="15" spans="1:34" ht="15.5" x14ac:dyDescent="0.35">
      <c r="A15" s="45" t="s">
        <v>20</v>
      </c>
      <c r="B15" s="45">
        <v>2017</v>
      </c>
      <c r="C15" s="45" t="s">
        <v>65</v>
      </c>
      <c r="D15" s="45" t="s">
        <v>140</v>
      </c>
      <c r="E15" s="55"/>
      <c r="F15" s="55"/>
      <c r="G15" s="55"/>
      <c r="H15" s="55"/>
      <c r="I15" s="55"/>
      <c r="J15" s="55"/>
      <c r="K15" s="55"/>
      <c r="L15" s="55"/>
      <c r="M15" s="55"/>
      <c r="N15" s="59"/>
      <c r="O15" s="55"/>
      <c r="P15" s="55"/>
      <c r="Q15" s="55"/>
      <c r="R15" s="55">
        <v>100</v>
      </c>
      <c r="S15" s="55"/>
      <c r="T15" s="55"/>
      <c r="U15" s="55"/>
      <c r="V15" s="55"/>
      <c r="W15" s="55"/>
      <c r="X15" s="55"/>
      <c r="Y15" s="55">
        <f t="shared" si="0"/>
        <v>0</v>
      </c>
      <c r="Z15">
        <f t="shared" si="1"/>
        <v>0</v>
      </c>
      <c r="AA15">
        <f t="shared" si="2"/>
        <v>0</v>
      </c>
      <c r="AB15">
        <f t="shared" si="3"/>
        <v>0</v>
      </c>
      <c r="AC15">
        <f t="shared" si="4"/>
        <v>0</v>
      </c>
      <c r="AD15">
        <f t="shared" si="5"/>
        <v>0</v>
      </c>
      <c r="AE15">
        <f t="shared" si="6"/>
        <v>100</v>
      </c>
      <c r="AF15">
        <f t="shared" si="7"/>
        <v>0</v>
      </c>
      <c r="AG15">
        <f t="shared" si="8"/>
        <v>0</v>
      </c>
      <c r="AH15">
        <f t="shared" si="9"/>
        <v>0</v>
      </c>
    </row>
    <row r="16" spans="1:34" ht="15.5" x14ac:dyDescent="0.35">
      <c r="A16" s="45" t="s">
        <v>20</v>
      </c>
      <c r="B16" s="45">
        <v>2017</v>
      </c>
      <c r="C16" s="45" t="s">
        <v>43</v>
      </c>
      <c r="D16" s="45" t="s">
        <v>141</v>
      </c>
      <c r="E16" s="55"/>
      <c r="F16" s="55"/>
      <c r="G16" s="55"/>
      <c r="H16" s="55"/>
      <c r="I16" s="55"/>
      <c r="J16" s="55"/>
      <c r="K16" s="55"/>
      <c r="L16" s="59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>
        <f t="shared" si="0"/>
        <v>0</v>
      </c>
      <c r="Z16">
        <f t="shared" si="1"/>
        <v>0</v>
      </c>
      <c r="AA16">
        <f t="shared" si="2"/>
        <v>0</v>
      </c>
      <c r="AB16">
        <f t="shared" si="3"/>
        <v>0</v>
      </c>
      <c r="AC16">
        <f t="shared" si="4"/>
        <v>0</v>
      </c>
      <c r="AD16">
        <f t="shared" si="5"/>
        <v>0</v>
      </c>
      <c r="AE16">
        <f t="shared" si="6"/>
        <v>0</v>
      </c>
      <c r="AF16">
        <f t="shared" si="7"/>
        <v>0</v>
      </c>
      <c r="AG16">
        <f t="shared" si="8"/>
        <v>0</v>
      </c>
      <c r="AH16">
        <f t="shared" si="9"/>
        <v>0</v>
      </c>
    </row>
    <row r="17" spans="1:34" ht="15.5" x14ac:dyDescent="0.35">
      <c r="A17" s="45" t="s">
        <v>20</v>
      </c>
      <c r="B17" s="45">
        <v>2018</v>
      </c>
      <c r="C17" s="45" t="s">
        <v>43</v>
      </c>
      <c r="D17" s="45" t="s">
        <v>69</v>
      </c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6">
        <v>3000</v>
      </c>
      <c r="U17" s="55"/>
      <c r="V17" s="55"/>
      <c r="W17" s="55"/>
      <c r="X17" s="55"/>
      <c r="Y17" s="55">
        <f t="shared" si="0"/>
        <v>0</v>
      </c>
      <c r="Z17">
        <f t="shared" si="1"/>
        <v>0</v>
      </c>
      <c r="AA17">
        <f t="shared" si="2"/>
        <v>0</v>
      </c>
      <c r="AB17">
        <f t="shared" si="3"/>
        <v>0</v>
      </c>
      <c r="AC17">
        <f t="shared" si="4"/>
        <v>0</v>
      </c>
      <c r="AD17">
        <f t="shared" si="5"/>
        <v>0</v>
      </c>
      <c r="AE17">
        <f t="shared" si="6"/>
        <v>0</v>
      </c>
      <c r="AF17">
        <f t="shared" si="7"/>
        <v>3000</v>
      </c>
      <c r="AG17">
        <f t="shared" si="8"/>
        <v>0</v>
      </c>
      <c r="AH17">
        <f t="shared" si="9"/>
        <v>0</v>
      </c>
    </row>
    <row r="18" spans="1:34" ht="15.5" x14ac:dyDescent="0.35">
      <c r="A18" s="45" t="s">
        <v>20</v>
      </c>
      <c r="B18" s="45">
        <v>2018</v>
      </c>
      <c r="C18" s="45" t="s">
        <v>65</v>
      </c>
      <c r="D18" s="45" t="s">
        <v>142</v>
      </c>
      <c r="E18" s="55"/>
      <c r="F18" s="56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>
        <v>2000</v>
      </c>
      <c r="U18" s="55">
        <v>1500</v>
      </c>
      <c r="V18" s="55"/>
      <c r="W18" s="55">
        <v>300</v>
      </c>
      <c r="X18" s="55"/>
      <c r="Y18" s="55">
        <f t="shared" si="0"/>
        <v>0</v>
      </c>
      <c r="Z18">
        <f t="shared" si="1"/>
        <v>0</v>
      </c>
      <c r="AA18">
        <f t="shared" si="2"/>
        <v>0</v>
      </c>
      <c r="AB18">
        <f t="shared" si="3"/>
        <v>0</v>
      </c>
      <c r="AC18">
        <f t="shared" si="4"/>
        <v>0</v>
      </c>
      <c r="AD18">
        <f t="shared" si="5"/>
        <v>0</v>
      </c>
      <c r="AE18">
        <f t="shared" si="6"/>
        <v>0</v>
      </c>
      <c r="AF18">
        <f t="shared" si="7"/>
        <v>2000</v>
      </c>
      <c r="AG18">
        <f t="shared" si="8"/>
        <v>1500</v>
      </c>
      <c r="AH18">
        <f t="shared" si="9"/>
        <v>300</v>
      </c>
    </row>
    <row r="19" spans="1:34" ht="15.5" x14ac:dyDescent="0.35">
      <c r="A19" s="45" t="s">
        <v>20</v>
      </c>
      <c r="B19" s="45">
        <v>2018</v>
      </c>
      <c r="C19" s="45" t="s">
        <v>65</v>
      </c>
      <c r="D19" s="45" t="s">
        <v>44</v>
      </c>
      <c r="E19" s="55"/>
      <c r="F19" s="55"/>
      <c r="G19" s="55"/>
      <c r="H19" s="55"/>
      <c r="I19" s="55"/>
      <c r="J19" s="55">
        <v>300</v>
      </c>
      <c r="K19" s="55"/>
      <c r="L19" s="55"/>
      <c r="M19" s="55"/>
      <c r="N19" s="59"/>
      <c r="O19" s="56">
        <v>8175</v>
      </c>
      <c r="P19" s="55"/>
      <c r="Q19" s="55"/>
      <c r="R19" s="55"/>
      <c r="S19" s="55">
        <v>1500</v>
      </c>
      <c r="T19" s="55"/>
      <c r="U19" s="55"/>
      <c r="V19" s="55">
        <v>2000</v>
      </c>
      <c r="W19" s="55"/>
      <c r="X19" s="55"/>
      <c r="Y19" s="55">
        <f t="shared" si="0"/>
        <v>0</v>
      </c>
      <c r="Z19">
        <f t="shared" si="1"/>
        <v>0</v>
      </c>
      <c r="AA19">
        <f t="shared" si="2"/>
        <v>300</v>
      </c>
      <c r="AB19">
        <f t="shared" si="3"/>
        <v>0</v>
      </c>
      <c r="AC19">
        <f t="shared" si="4"/>
        <v>0</v>
      </c>
      <c r="AD19">
        <f t="shared" si="5"/>
        <v>8175</v>
      </c>
      <c r="AE19">
        <f t="shared" si="6"/>
        <v>0</v>
      </c>
      <c r="AF19">
        <f t="shared" si="7"/>
        <v>1500</v>
      </c>
      <c r="AG19">
        <f t="shared" si="8"/>
        <v>2000</v>
      </c>
      <c r="AH19">
        <f t="shared" si="9"/>
        <v>0</v>
      </c>
    </row>
    <row r="20" spans="1:34" ht="15.5" x14ac:dyDescent="0.35">
      <c r="A20" s="45" t="s">
        <v>20</v>
      </c>
      <c r="B20" s="45">
        <v>2018</v>
      </c>
      <c r="C20" s="45" t="s">
        <v>43</v>
      </c>
      <c r="D20" s="45" t="s">
        <v>45</v>
      </c>
      <c r="E20" s="55"/>
      <c r="F20" s="57"/>
      <c r="G20" s="55"/>
      <c r="H20" s="55"/>
      <c r="I20" s="55">
        <v>2500</v>
      </c>
      <c r="J20" s="55"/>
      <c r="K20" s="55"/>
      <c r="L20" s="55"/>
      <c r="M20" s="55"/>
      <c r="N20" s="59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>
        <f t="shared" si="0"/>
        <v>0</v>
      </c>
      <c r="Z20">
        <f t="shared" si="1"/>
        <v>0</v>
      </c>
      <c r="AA20">
        <f t="shared" si="2"/>
        <v>2500</v>
      </c>
      <c r="AB20">
        <f t="shared" si="3"/>
        <v>0</v>
      </c>
      <c r="AC20">
        <f t="shared" si="4"/>
        <v>0</v>
      </c>
      <c r="AD20">
        <f t="shared" si="5"/>
        <v>0</v>
      </c>
      <c r="AE20">
        <f t="shared" si="6"/>
        <v>0</v>
      </c>
      <c r="AF20">
        <f t="shared" si="7"/>
        <v>0</v>
      </c>
      <c r="AG20">
        <f t="shared" si="8"/>
        <v>0</v>
      </c>
      <c r="AH20">
        <f t="shared" si="9"/>
        <v>0</v>
      </c>
    </row>
    <row r="21" spans="1:34" ht="15.5" x14ac:dyDescent="0.35">
      <c r="A21" s="45" t="s">
        <v>20</v>
      </c>
      <c r="B21" s="45">
        <v>2018</v>
      </c>
      <c r="C21" s="45" t="s">
        <v>43</v>
      </c>
      <c r="D21" s="45" t="s">
        <v>44</v>
      </c>
      <c r="E21" s="55">
        <v>10000</v>
      </c>
      <c r="F21" s="55"/>
      <c r="G21" s="55"/>
      <c r="H21" s="55">
        <v>500</v>
      </c>
      <c r="I21" s="55"/>
      <c r="J21" s="55"/>
      <c r="K21" s="55">
        <v>12000</v>
      </c>
      <c r="L21" s="58"/>
      <c r="M21" s="55">
        <v>10000</v>
      </c>
      <c r="N21" s="55"/>
      <c r="O21" s="55"/>
      <c r="P21" s="55">
        <v>600</v>
      </c>
      <c r="Q21" s="55"/>
      <c r="R21" s="55"/>
      <c r="S21" s="55"/>
      <c r="T21" s="55"/>
      <c r="U21" s="55"/>
      <c r="V21" s="55"/>
      <c r="W21" s="55"/>
      <c r="X21" s="55">
        <v>1000</v>
      </c>
      <c r="Y21" s="55">
        <f t="shared" si="0"/>
        <v>10000</v>
      </c>
      <c r="Z21">
        <f t="shared" si="1"/>
        <v>500</v>
      </c>
      <c r="AA21">
        <f t="shared" si="2"/>
        <v>0</v>
      </c>
      <c r="AB21">
        <f t="shared" si="3"/>
        <v>12000</v>
      </c>
      <c r="AC21">
        <f t="shared" si="4"/>
        <v>10000</v>
      </c>
      <c r="AD21">
        <f t="shared" si="5"/>
        <v>600</v>
      </c>
      <c r="AE21">
        <f t="shared" si="6"/>
        <v>0</v>
      </c>
      <c r="AF21">
        <f t="shared" si="7"/>
        <v>0</v>
      </c>
      <c r="AG21">
        <f t="shared" si="8"/>
        <v>0</v>
      </c>
      <c r="AH21">
        <f t="shared" si="9"/>
        <v>1000</v>
      </c>
    </row>
    <row r="22" spans="1:34" ht="15.5" x14ac:dyDescent="0.35">
      <c r="A22" s="45" t="s">
        <v>20</v>
      </c>
      <c r="B22" s="45">
        <v>2019</v>
      </c>
      <c r="C22" s="45" t="s">
        <v>65</v>
      </c>
      <c r="D22" s="45" t="s">
        <v>45</v>
      </c>
      <c r="E22" s="55"/>
      <c r="F22" s="59"/>
      <c r="G22" s="55">
        <v>1000</v>
      </c>
      <c r="H22" s="55"/>
      <c r="I22" s="55"/>
      <c r="J22" s="55"/>
      <c r="K22" s="55"/>
      <c r="L22" s="55">
        <v>200</v>
      </c>
      <c r="M22" s="55"/>
      <c r="N22" s="59"/>
      <c r="O22" s="55"/>
      <c r="P22" s="55"/>
      <c r="Q22" s="55"/>
      <c r="R22" s="55"/>
      <c r="S22" s="55"/>
      <c r="T22" s="55"/>
      <c r="U22" s="55"/>
      <c r="V22" s="55"/>
      <c r="W22" s="55">
        <v>700</v>
      </c>
      <c r="X22" s="55"/>
      <c r="Y22" s="55">
        <f t="shared" si="0"/>
        <v>0</v>
      </c>
      <c r="Z22">
        <f t="shared" si="1"/>
        <v>1000</v>
      </c>
      <c r="AA22">
        <f t="shared" si="2"/>
        <v>0</v>
      </c>
      <c r="AB22">
        <f t="shared" si="3"/>
        <v>200</v>
      </c>
      <c r="AC22">
        <f t="shared" si="4"/>
        <v>0</v>
      </c>
      <c r="AD22">
        <f t="shared" si="5"/>
        <v>0</v>
      </c>
      <c r="AE22">
        <f t="shared" si="6"/>
        <v>0</v>
      </c>
      <c r="AF22">
        <f t="shared" si="7"/>
        <v>0</v>
      </c>
      <c r="AG22">
        <f t="shared" si="8"/>
        <v>0</v>
      </c>
      <c r="AH22">
        <f t="shared" si="9"/>
        <v>700</v>
      </c>
    </row>
    <row r="23" spans="1:34" ht="15.5" x14ac:dyDescent="0.35">
      <c r="A23" s="45" t="s">
        <v>20</v>
      </c>
      <c r="B23" s="45">
        <v>2019</v>
      </c>
      <c r="C23" s="45" t="s">
        <v>65</v>
      </c>
      <c r="D23" s="45" t="s">
        <v>44</v>
      </c>
      <c r="E23" s="55"/>
      <c r="F23" s="55">
        <v>50</v>
      </c>
      <c r="G23" s="55"/>
      <c r="H23" s="55"/>
      <c r="I23" s="55"/>
      <c r="J23" s="55"/>
      <c r="K23" s="55"/>
      <c r="L23" s="59"/>
      <c r="M23" s="55"/>
      <c r="N23" s="59"/>
      <c r="O23" s="55"/>
      <c r="P23" s="55"/>
      <c r="Q23" s="55">
        <v>208</v>
      </c>
      <c r="R23" s="55"/>
      <c r="S23" s="55"/>
      <c r="T23" s="55"/>
      <c r="U23" s="55"/>
      <c r="V23" s="55"/>
      <c r="W23" s="55"/>
      <c r="X23" s="55"/>
      <c r="Y23" s="55">
        <f t="shared" si="0"/>
        <v>50</v>
      </c>
      <c r="Z23">
        <f t="shared" si="1"/>
        <v>0</v>
      </c>
      <c r="AA23">
        <f t="shared" si="2"/>
        <v>0</v>
      </c>
      <c r="AB23">
        <f t="shared" si="3"/>
        <v>0</v>
      </c>
      <c r="AC23">
        <f t="shared" si="4"/>
        <v>0</v>
      </c>
      <c r="AD23">
        <f t="shared" si="5"/>
        <v>0</v>
      </c>
      <c r="AE23">
        <f t="shared" si="6"/>
        <v>208</v>
      </c>
      <c r="AF23">
        <f t="shared" si="7"/>
        <v>0</v>
      </c>
      <c r="AG23">
        <f t="shared" si="8"/>
        <v>0</v>
      </c>
      <c r="AH23">
        <f t="shared" si="9"/>
        <v>0</v>
      </c>
    </row>
    <row r="24" spans="1:34" ht="15.5" x14ac:dyDescent="0.35">
      <c r="A24" s="45" t="s">
        <v>20</v>
      </c>
      <c r="B24" s="45">
        <v>2019</v>
      </c>
      <c r="C24" s="45" t="s">
        <v>43</v>
      </c>
      <c r="D24" s="45" t="s">
        <v>45</v>
      </c>
      <c r="E24" s="55"/>
      <c r="F24" s="59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>
        <v>510</v>
      </c>
      <c r="S24" s="55"/>
      <c r="T24" s="55"/>
      <c r="U24" s="55"/>
      <c r="V24" s="55"/>
      <c r="W24" s="55"/>
      <c r="X24" s="55">
        <v>88</v>
      </c>
      <c r="Y24" s="55">
        <f t="shared" si="0"/>
        <v>0</v>
      </c>
      <c r="Z24">
        <f t="shared" si="1"/>
        <v>0</v>
      </c>
      <c r="AA24">
        <f t="shared" si="2"/>
        <v>0</v>
      </c>
      <c r="AB24">
        <f t="shared" si="3"/>
        <v>0</v>
      </c>
      <c r="AC24">
        <f t="shared" si="4"/>
        <v>0</v>
      </c>
      <c r="AD24">
        <f t="shared" si="5"/>
        <v>0</v>
      </c>
      <c r="AE24">
        <f t="shared" si="6"/>
        <v>510</v>
      </c>
      <c r="AF24">
        <f t="shared" si="7"/>
        <v>0</v>
      </c>
      <c r="AG24">
        <f t="shared" si="8"/>
        <v>0</v>
      </c>
      <c r="AH24">
        <f t="shared" si="9"/>
        <v>88</v>
      </c>
    </row>
    <row r="25" spans="1:34" ht="15.5" x14ac:dyDescent="0.35">
      <c r="A25" s="45" t="s">
        <v>20</v>
      </c>
      <c r="B25" s="45">
        <v>2019</v>
      </c>
      <c r="C25" s="45" t="s">
        <v>43</v>
      </c>
      <c r="D25" s="45" t="s">
        <v>46</v>
      </c>
      <c r="E25" s="55"/>
      <c r="F25" s="59"/>
      <c r="G25" s="55"/>
      <c r="H25" s="55"/>
      <c r="I25" s="55"/>
      <c r="J25" s="55"/>
      <c r="K25" s="55"/>
      <c r="L25" s="55"/>
      <c r="M25" s="55"/>
      <c r="N25" s="59"/>
      <c r="O25" s="55"/>
      <c r="P25" s="55"/>
      <c r="Q25" s="55"/>
      <c r="R25" s="55"/>
      <c r="S25" s="55"/>
      <c r="T25" s="55"/>
      <c r="U25" s="55">
        <v>200</v>
      </c>
      <c r="V25" s="55"/>
      <c r="W25" s="55"/>
      <c r="X25" s="55"/>
      <c r="Y25" s="55">
        <f t="shared" si="0"/>
        <v>0</v>
      </c>
      <c r="Z25">
        <f t="shared" si="1"/>
        <v>0</v>
      </c>
      <c r="AA25">
        <f t="shared" si="2"/>
        <v>0</v>
      </c>
      <c r="AB25">
        <f t="shared" si="3"/>
        <v>0</v>
      </c>
      <c r="AC25">
        <f t="shared" si="4"/>
        <v>0</v>
      </c>
      <c r="AD25">
        <f t="shared" si="5"/>
        <v>0</v>
      </c>
      <c r="AE25">
        <f t="shared" si="6"/>
        <v>0</v>
      </c>
      <c r="AF25">
        <f t="shared" si="7"/>
        <v>0</v>
      </c>
      <c r="AG25">
        <f t="shared" si="8"/>
        <v>200</v>
      </c>
      <c r="AH25">
        <f t="shared" si="9"/>
        <v>0</v>
      </c>
    </row>
    <row r="26" spans="1:34" ht="15.5" x14ac:dyDescent="0.35">
      <c r="A26" s="45" t="s">
        <v>20</v>
      </c>
      <c r="B26" s="45">
        <v>2019</v>
      </c>
      <c r="C26" s="45" t="s">
        <v>65</v>
      </c>
      <c r="D26" s="45" t="s">
        <v>46</v>
      </c>
      <c r="E26" s="55"/>
      <c r="F26" s="55"/>
      <c r="G26" s="55"/>
      <c r="H26" s="55"/>
      <c r="I26" s="55"/>
      <c r="J26" s="55"/>
      <c r="K26" s="55"/>
      <c r="L26" s="55"/>
      <c r="M26" s="55"/>
      <c r="N26" s="59"/>
      <c r="O26" s="55">
        <v>500</v>
      </c>
      <c r="P26" s="55"/>
      <c r="Q26" s="55"/>
      <c r="R26" s="55"/>
      <c r="S26" s="55"/>
      <c r="T26" s="55"/>
      <c r="U26" s="55"/>
      <c r="V26" s="55">
        <v>60</v>
      </c>
      <c r="W26" s="55"/>
      <c r="X26" s="55"/>
      <c r="Y26" s="55">
        <f t="shared" si="0"/>
        <v>0</v>
      </c>
      <c r="Z26">
        <f t="shared" si="1"/>
        <v>0</v>
      </c>
      <c r="AA26">
        <f t="shared" si="2"/>
        <v>0</v>
      </c>
      <c r="AB26">
        <f t="shared" si="3"/>
        <v>0</v>
      </c>
      <c r="AC26">
        <f t="shared" si="4"/>
        <v>0</v>
      </c>
      <c r="AD26">
        <f t="shared" si="5"/>
        <v>500</v>
      </c>
      <c r="AE26">
        <f t="shared" si="6"/>
        <v>0</v>
      </c>
      <c r="AF26">
        <f t="shared" si="7"/>
        <v>0</v>
      </c>
      <c r="AG26">
        <f t="shared" si="8"/>
        <v>60</v>
      </c>
      <c r="AH26">
        <f t="shared" si="9"/>
        <v>0</v>
      </c>
    </row>
    <row r="27" spans="1:34" x14ac:dyDescent="0.35">
      <c r="A27" s="45" t="s">
        <v>20</v>
      </c>
      <c r="B27" s="45">
        <v>2019</v>
      </c>
      <c r="C27" s="45" t="s">
        <v>65</v>
      </c>
      <c r="D27" s="45" t="s">
        <v>139</v>
      </c>
      <c r="E27" s="55"/>
      <c r="F27" s="55"/>
      <c r="G27" s="55"/>
      <c r="H27" s="55"/>
      <c r="I27" s="55">
        <v>500</v>
      </c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>
        <f t="shared" si="0"/>
        <v>0</v>
      </c>
      <c r="Z27">
        <f t="shared" si="1"/>
        <v>0</v>
      </c>
      <c r="AA27">
        <f t="shared" si="2"/>
        <v>500</v>
      </c>
      <c r="AB27">
        <f t="shared" si="3"/>
        <v>0</v>
      </c>
      <c r="AC27">
        <f t="shared" si="4"/>
        <v>0</v>
      </c>
      <c r="AD27">
        <f t="shared" si="5"/>
        <v>0</v>
      </c>
      <c r="AE27">
        <f t="shared" si="6"/>
        <v>0</v>
      </c>
      <c r="AF27">
        <f t="shared" si="7"/>
        <v>0</v>
      </c>
      <c r="AG27">
        <f t="shared" si="8"/>
        <v>0</v>
      </c>
      <c r="AH27">
        <f t="shared" si="9"/>
        <v>0</v>
      </c>
    </row>
    <row r="28" spans="1:34" ht="15.5" x14ac:dyDescent="0.35">
      <c r="A28" s="45" t="s">
        <v>20</v>
      </c>
      <c r="B28" s="45">
        <v>2019</v>
      </c>
      <c r="C28" s="45" t="s">
        <v>43</v>
      </c>
      <c r="D28" s="45" t="s">
        <v>139</v>
      </c>
      <c r="E28" s="55"/>
      <c r="F28" s="55">
        <v>110</v>
      </c>
      <c r="G28" s="55"/>
      <c r="H28" s="55"/>
      <c r="I28" s="55">
        <v>300</v>
      </c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6">
        <v>24981.781999999999</v>
      </c>
      <c r="U28" s="55"/>
      <c r="V28" s="55"/>
      <c r="W28" s="55"/>
      <c r="X28" s="55"/>
      <c r="Y28" s="55">
        <f t="shared" si="0"/>
        <v>110</v>
      </c>
      <c r="Z28">
        <f t="shared" si="1"/>
        <v>0</v>
      </c>
      <c r="AA28">
        <f t="shared" si="2"/>
        <v>300</v>
      </c>
      <c r="AB28">
        <f t="shared" si="3"/>
        <v>0</v>
      </c>
      <c r="AC28">
        <f t="shared" si="4"/>
        <v>0</v>
      </c>
      <c r="AD28">
        <f t="shared" si="5"/>
        <v>0</v>
      </c>
      <c r="AE28">
        <f t="shared" si="6"/>
        <v>0</v>
      </c>
      <c r="AF28">
        <f t="shared" si="7"/>
        <v>24981.781999999999</v>
      </c>
      <c r="AG28">
        <f t="shared" si="8"/>
        <v>0</v>
      </c>
      <c r="AH28">
        <f t="shared" si="9"/>
        <v>0</v>
      </c>
    </row>
    <row r="29" spans="1:34" x14ac:dyDescent="0.35">
      <c r="A29" s="45" t="s">
        <v>20</v>
      </c>
      <c r="B29" s="45">
        <v>2019</v>
      </c>
      <c r="C29" s="45" t="s">
        <v>43</v>
      </c>
      <c r="D29" s="45" t="s">
        <v>69</v>
      </c>
      <c r="E29" s="55"/>
      <c r="F29" s="55"/>
      <c r="G29" s="55"/>
      <c r="H29" s="55"/>
      <c r="I29" s="55"/>
      <c r="J29" s="55"/>
      <c r="K29" s="55">
        <v>2000</v>
      </c>
      <c r="L29" s="55">
        <v>1500</v>
      </c>
      <c r="M29" s="55"/>
      <c r="N29" s="55">
        <v>300</v>
      </c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>
        <f t="shared" si="0"/>
        <v>0</v>
      </c>
      <c r="Z29">
        <f t="shared" si="1"/>
        <v>0</v>
      </c>
      <c r="AA29">
        <f t="shared" si="2"/>
        <v>0</v>
      </c>
      <c r="AB29">
        <f t="shared" si="3"/>
        <v>3500</v>
      </c>
      <c r="AC29">
        <f t="shared" si="4"/>
        <v>300</v>
      </c>
      <c r="AD29">
        <f t="shared" si="5"/>
        <v>0</v>
      </c>
      <c r="AE29">
        <f t="shared" si="6"/>
        <v>0</v>
      </c>
      <c r="AF29">
        <f t="shared" si="7"/>
        <v>0</v>
      </c>
      <c r="AG29">
        <f t="shared" si="8"/>
        <v>0</v>
      </c>
      <c r="AH29">
        <f t="shared" si="9"/>
        <v>0</v>
      </c>
    </row>
    <row r="30" spans="1:34" ht="15.5" x14ac:dyDescent="0.35">
      <c r="A30" s="45" t="s">
        <v>20</v>
      </c>
      <c r="B30" s="45">
        <v>2020</v>
      </c>
      <c r="C30" s="45" t="s">
        <v>65</v>
      </c>
      <c r="D30" s="45" t="s">
        <v>140</v>
      </c>
      <c r="E30" s="55"/>
      <c r="F30" s="55"/>
      <c r="G30" s="55"/>
      <c r="H30" s="55"/>
      <c r="I30" s="55"/>
      <c r="J30" s="55"/>
      <c r="K30" s="55"/>
      <c r="L30" s="55"/>
      <c r="M30" s="55"/>
      <c r="N30" s="56">
        <v>3000</v>
      </c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>
        <f t="shared" si="0"/>
        <v>0</v>
      </c>
      <c r="Z30">
        <f t="shared" si="1"/>
        <v>0</v>
      </c>
      <c r="AA30">
        <f t="shared" si="2"/>
        <v>0</v>
      </c>
      <c r="AB30">
        <f t="shared" si="3"/>
        <v>0</v>
      </c>
      <c r="AC30">
        <f t="shared" si="4"/>
        <v>3000</v>
      </c>
      <c r="AD30">
        <f t="shared" si="5"/>
        <v>0</v>
      </c>
      <c r="AE30">
        <f t="shared" si="6"/>
        <v>0</v>
      </c>
      <c r="AF30">
        <f t="shared" si="7"/>
        <v>0</v>
      </c>
      <c r="AG30">
        <f t="shared" si="8"/>
        <v>0</v>
      </c>
      <c r="AH30">
        <f t="shared" si="9"/>
        <v>0</v>
      </c>
    </row>
    <row r="31" spans="1:34" x14ac:dyDescent="0.35">
      <c r="A31" s="45" t="s">
        <v>20</v>
      </c>
      <c r="B31" s="45">
        <v>2020</v>
      </c>
      <c r="C31" s="45" t="s">
        <v>65</v>
      </c>
      <c r="D31" s="45" t="s">
        <v>141</v>
      </c>
      <c r="E31" s="55"/>
      <c r="F31" s="55"/>
      <c r="G31" s="55"/>
      <c r="H31" s="55"/>
      <c r="I31" s="55"/>
      <c r="J31" s="55"/>
      <c r="K31" s="55"/>
      <c r="L31" s="55"/>
      <c r="M31" s="55"/>
      <c r="N31" s="55">
        <v>2000</v>
      </c>
      <c r="O31" s="55">
        <v>1500</v>
      </c>
      <c r="P31" s="55"/>
      <c r="Q31" s="55">
        <v>300</v>
      </c>
      <c r="R31" s="55"/>
      <c r="S31" s="55">
        <v>500</v>
      </c>
      <c r="T31" s="55"/>
      <c r="U31" s="55"/>
      <c r="V31" s="55"/>
      <c r="W31" s="55"/>
      <c r="X31" s="55"/>
      <c r="Y31" s="55">
        <f t="shared" si="0"/>
        <v>0</v>
      </c>
      <c r="Z31">
        <f t="shared" si="1"/>
        <v>0</v>
      </c>
      <c r="AA31">
        <f t="shared" si="2"/>
        <v>0</v>
      </c>
      <c r="AB31">
        <f t="shared" si="3"/>
        <v>0</v>
      </c>
      <c r="AC31">
        <f t="shared" si="4"/>
        <v>2000</v>
      </c>
      <c r="AD31">
        <f t="shared" si="5"/>
        <v>1500</v>
      </c>
      <c r="AE31">
        <f t="shared" si="6"/>
        <v>300</v>
      </c>
      <c r="AF31">
        <f t="shared" si="7"/>
        <v>500</v>
      </c>
      <c r="AG31">
        <f t="shared" si="8"/>
        <v>0</v>
      </c>
      <c r="AH31">
        <f t="shared" si="9"/>
        <v>0</v>
      </c>
    </row>
    <row r="32" spans="1:34" ht="15.5" x14ac:dyDescent="0.35">
      <c r="A32" s="45" t="s">
        <v>20</v>
      </c>
      <c r="B32" s="45">
        <v>2020</v>
      </c>
      <c r="C32" s="45" t="s">
        <v>43</v>
      </c>
      <c r="D32" s="45" t="s">
        <v>69</v>
      </c>
      <c r="E32" s="55">
        <v>300</v>
      </c>
      <c r="F32" s="55"/>
      <c r="G32" s="55">
        <v>500</v>
      </c>
      <c r="H32" s="55"/>
      <c r="I32" s="55"/>
      <c r="J32" s="55"/>
      <c r="K32" s="55"/>
      <c r="L32" s="55"/>
      <c r="M32" s="55">
        <v>1500</v>
      </c>
      <c r="N32" s="55"/>
      <c r="O32" s="55"/>
      <c r="P32" s="55">
        <v>2000</v>
      </c>
      <c r="Q32" s="55"/>
      <c r="R32" s="55"/>
      <c r="S32" s="55">
        <v>300</v>
      </c>
      <c r="T32" s="56"/>
      <c r="U32" s="55"/>
      <c r="V32" s="55"/>
      <c r="W32" s="55"/>
      <c r="X32" s="55">
        <v>300</v>
      </c>
      <c r="Y32" s="55">
        <f t="shared" si="0"/>
        <v>300</v>
      </c>
      <c r="Z32">
        <f t="shared" si="1"/>
        <v>500</v>
      </c>
      <c r="AA32">
        <f t="shared" si="2"/>
        <v>0</v>
      </c>
      <c r="AB32">
        <f t="shared" si="3"/>
        <v>0</v>
      </c>
      <c r="AC32">
        <f t="shared" si="4"/>
        <v>1500</v>
      </c>
      <c r="AD32">
        <f t="shared" si="5"/>
        <v>2000</v>
      </c>
      <c r="AE32">
        <f t="shared" si="6"/>
        <v>0</v>
      </c>
      <c r="AF32">
        <f t="shared" si="7"/>
        <v>300</v>
      </c>
      <c r="AG32">
        <f t="shared" si="8"/>
        <v>0</v>
      </c>
      <c r="AH32">
        <f t="shared" si="9"/>
        <v>300</v>
      </c>
    </row>
    <row r="33" spans="1:34" ht="15.5" x14ac:dyDescent="0.35">
      <c r="A33" s="45" t="s">
        <v>20</v>
      </c>
      <c r="B33" s="45">
        <v>2020</v>
      </c>
      <c r="C33" s="45" t="s">
        <v>43</v>
      </c>
      <c r="D33" s="45" t="s">
        <v>142</v>
      </c>
      <c r="E33" s="55"/>
      <c r="F33" s="55"/>
      <c r="G33" s="55">
        <v>300</v>
      </c>
      <c r="H33" s="56"/>
      <c r="I33" s="55"/>
      <c r="J33" s="55"/>
      <c r="K33" s="55"/>
      <c r="L33" s="55">
        <v>300</v>
      </c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>
        <v>2500</v>
      </c>
      <c r="X33" s="55"/>
      <c r="Y33" s="55">
        <f t="shared" si="0"/>
        <v>0</v>
      </c>
      <c r="Z33">
        <f t="shared" si="1"/>
        <v>300</v>
      </c>
      <c r="AA33">
        <f t="shared" si="2"/>
        <v>0</v>
      </c>
      <c r="AB33">
        <f t="shared" si="3"/>
        <v>300</v>
      </c>
      <c r="AC33">
        <f t="shared" si="4"/>
        <v>0</v>
      </c>
      <c r="AD33">
        <f t="shared" si="5"/>
        <v>0</v>
      </c>
      <c r="AE33">
        <f t="shared" si="6"/>
        <v>0</v>
      </c>
      <c r="AF33">
        <f t="shared" si="7"/>
        <v>0</v>
      </c>
      <c r="AG33">
        <f t="shared" si="8"/>
        <v>0</v>
      </c>
      <c r="AH33">
        <f t="shared" si="9"/>
        <v>2500</v>
      </c>
    </row>
    <row r="34" spans="1:34" ht="15.5" x14ac:dyDescent="0.35">
      <c r="A34" s="45" t="s">
        <v>20</v>
      </c>
      <c r="B34" s="45">
        <v>2020</v>
      </c>
      <c r="C34" s="45" t="s">
        <v>65</v>
      </c>
      <c r="D34" s="45" t="s">
        <v>44</v>
      </c>
      <c r="E34" s="55"/>
      <c r="F34" s="55"/>
      <c r="G34" s="55"/>
      <c r="H34" s="55"/>
      <c r="I34" s="55"/>
      <c r="J34" s="55"/>
      <c r="K34" s="55">
        <v>2500</v>
      </c>
      <c r="L34" s="55"/>
      <c r="M34" s="55"/>
      <c r="N34" s="55"/>
      <c r="O34" s="55"/>
      <c r="P34" s="55"/>
      <c r="Q34" s="55"/>
      <c r="R34" s="55">
        <v>1000</v>
      </c>
      <c r="S34" s="55">
        <v>12000</v>
      </c>
      <c r="T34" s="58"/>
      <c r="U34" s="55"/>
      <c r="V34" s="55">
        <v>500</v>
      </c>
      <c r="W34" s="55"/>
      <c r="X34" s="55"/>
      <c r="Y34" s="55">
        <f t="shared" si="0"/>
        <v>0</v>
      </c>
      <c r="Z34">
        <f t="shared" si="1"/>
        <v>0</v>
      </c>
      <c r="AA34">
        <f t="shared" si="2"/>
        <v>0</v>
      </c>
      <c r="AB34">
        <f t="shared" si="3"/>
        <v>2500</v>
      </c>
      <c r="AC34">
        <f t="shared" si="4"/>
        <v>0</v>
      </c>
      <c r="AD34">
        <f t="shared" si="5"/>
        <v>0</v>
      </c>
      <c r="AE34">
        <f t="shared" si="6"/>
        <v>1000</v>
      </c>
      <c r="AF34">
        <f t="shared" si="7"/>
        <v>12000</v>
      </c>
      <c r="AG34">
        <f t="shared" si="8"/>
        <v>500</v>
      </c>
      <c r="AH34">
        <f t="shared" si="9"/>
        <v>0</v>
      </c>
    </row>
    <row r="35" spans="1:34" ht="15.5" x14ac:dyDescent="0.35">
      <c r="A35" s="45" t="s">
        <v>20</v>
      </c>
      <c r="B35" s="45">
        <v>2020</v>
      </c>
      <c r="C35" s="45" t="s">
        <v>65</v>
      </c>
      <c r="D35" s="45" t="s">
        <v>45</v>
      </c>
      <c r="E35" s="55"/>
      <c r="F35" s="55">
        <v>1000</v>
      </c>
      <c r="G35" s="55">
        <v>12000</v>
      </c>
      <c r="H35" s="58"/>
      <c r="I35" s="55"/>
      <c r="J35" s="55">
        <v>500</v>
      </c>
      <c r="K35" s="55"/>
      <c r="L35" s="55"/>
      <c r="M35" s="55"/>
      <c r="N35" s="55"/>
      <c r="O35" s="55"/>
      <c r="P35" s="55"/>
      <c r="Q35" s="55">
        <v>700</v>
      </c>
      <c r="R35" s="55"/>
      <c r="S35" s="55"/>
      <c r="T35" s="55">
        <v>200</v>
      </c>
      <c r="U35" s="55">
        <v>1000</v>
      </c>
      <c r="V35" s="55"/>
      <c r="W35" s="55"/>
      <c r="X35" s="55"/>
      <c r="Y35" s="55">
        <f t="shared" si="0"/>
        <v>1000</v>
      </c>
      <c r="Z35">
        <f t="shared" si="1"/>
        <v>12000</v>
      </c>
      <c r="AA35">
        <f t="shared" si="2"/>
        <v>500</v>
      </c>
      <c r="AB35">
        <f t="shared" si="3"/>
        <v>0</v>
      </c>
      <c r="AC35">
        <f t="shared" si="4"/>
        <v>0</v>
      </c>
      <c r="AD35">
        <f t="shared" si="5"/>
        <v>0</v>
      </c>
      <c r="AE35">
        <f t="shared" si="6"/>
        <v>700</v>
      </c>
      <c r="AF35">
        <f t="shared" si="7"/>
        <v>200</v>
      </c>
      <c r="AG35">
        <f t="shared" si="8"/>
        <v>1000</v>
      </c>
      <c r="AH35">
        <f t="shared" si="9"/>
        <v>0</v>
      </c>
    </row>
    <row r="36" spans="1:34" ht="15.5" x14ac:dyDescent="0.35">
      <c r="A36" s="45" t="s">
        <v>20</v>
      </c>
      <c r="B36" s="45">
        <v>2020</v>
      </c>
      <c r="C36" s="45" t="s">
        <v>43</v>
      </c>
      <c r="D36" s="45" t="s">
        <v>44</v>
      </c>
      <c r="E36" s="55">
        <v>700</v>
      </c>
      <c r="F36" s="55"/>
      <c r="G36" s="55"/>
      <c r="H36" s="55">
        <v>200</v>
      </c>
      <c r="I36" s="55">
        <v>1000</v>
      </c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9"/>
      <c r="U36" s="55"/>
      <c r="V36" s="55"/>
      <c r="W36" s="55"/>
      <c r="X36" s="55"/>
      <c r="Y36" s="55">
        <f t="shared" si="0"/>
        <v>700</v>
      </c>
      <c r="Z36">
        <f t="shared" si="1"/>
        <v>200</v>
      </c>
      <c r="AA36">
        <f t="shared" si="2"/>
        <v>1000</v>
      </c>
      <c r="AB36">
        <f t="shared" si="3"/>
        <v>0</v>
      </c>
      <c r="AC36">
        <f t="shared" si="4"/>
        <v>0</v>
      </c>
      <c r="AD36">
        <f t="shared" si="5"/>
        <v>0</v>
      </c>
      <c r="AE36">
        <f t="shared" si="6"/>
        <v>0</v>
      </c>
      <c r="AF36">
        <f t="shared" si="7"/>
        <v>0</v>
      </c>
      <c r="AG36">
        <f t="shared" si="8"/>
        <v>0</v>
      </c>
      <c r="AH36">
        <f t="shared" si="9"/>
        <v>0</v>
      </c>
    </row>
    <row r="37" spans="1:34" ht="15.5" x14ac:dyDescent="0.35">
      <c r="A37" s="45" t="s">
        <v>20</v>
      </c>
      <c r="B37" s="45">
        <v>2021</v>
      </c>
      <c r="C37" s="45" t="s">
        <v>43</v>
      </c>
      <c r="D37" s="45" t="s">
        <v>45</v>
      </c>
      <c r="E37" s="55"/>
      <c r="F37" s="55"/>
      <c r="G37" s="55"/>
      <c r="H37" s="59"/>
      <c r="I37" s="55"/>
      <c r="J37" s="55"/>
      <c r="K37" s="55"/>
      <c r="L37" s="55"/>
      <c r="M37" s="55"/>
      <c r="N37" s="56">
        <v>34575</v>
      </c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>
        <f t="shared" si="0"/>
        <v>0</v>
      </c>
      <c r="Z37">
        <f t="shared" si="1"/>
        <v>0</v>
      </c>
      <c r="AA37">
        <f t="shared" si="2"/>
        <v>0</v>
      </c>
      <c r="AB37">
        <f t="shared" si="3"/>
        <v>0</v>
      </c>
      <c r="AC37">
        <f t="shared" si="4"/>
        <v>34575</v>
      </c>
      <c r="AD37">
        <f t="shared" si="5"/>
        <v>0</v>
      </c>
      <c r="AE37">
        <f t="shared" si="6"/>
        <v>0</v>
      </c>
      <c r="AF37">
        <f t="shared" si="7"/>
        <v>0</v>
      </c>
      <c r="AG37">
        <f t="shared" si="8"/>
        <v>0</v>
      </c>
      <c r="AH37">
        <f t="shared" si="9"/>
        <v>0</v>
      </c>
    </row>
    <row r="38" spans="1:34" x14ac:dyDescent="0.35">
      <c r="A38" s="45" t="s">
        <v>20</v>
      </c>
      <c r="B38" s="45">
        <v>2021</v>
      </c>
      <c r="C38" s="45" t="s">
        <v>65</v>
      </c>
      <c r="D38" s="45" t="s">
        <v>44</v>
      </c>
      <c r="E38" s="55"/>
      <c r="F38" s="55"/>
      <c r="G38" s="55"/>
      <c r="H38" s="55"/>
      <c r="I38" s="55"/>
      <c r="J38" s="55"/>
      <c r="K38" s="55"/>
      <c r="L38" s="55"/>
      <c r="M38" s="55">
        <v>200</v>
      </c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>
        <f t="shared" si="0"/>
        <v>0</v>
      </c>
      <c r="Z38">
        <f t="shared" si="1"/>
        <v>0</v>
      </c>
      <c r="AA38">
        <f t="shared" si="2"/>
        <v>0</v>
      </c>
      <c r="AB38">
        <f t="shared" si="3"/>
        <v>0</v>
      </c>
      <c r="AC38">
        <f t="shared" si="4"/>
        <v>200</v>
      </c>
      <c r="AD38">
        <f t="shared" si="5"/>
        <v>0</v>
      </c>
      <c r="AE38">
        <f t="shared" si="6"/>
        <v>0</v>
      </c>
      <c r="AF38">
        <f t="shared" si="7"/>
        <v>0</v>
      </c>
      <c r="AG38">
        <f t="shared" si="8"/>
        <v>0</v>
      </c>
      <c r="AH38">
        <f t="shared" si="9"/>
        <v>0</v>
      </c>
    </row>
    <row r="39" spans="1:34" ht="15.5" x14ac:dyDescent="0.35">
      <c r="A39" s="45" t="s">
        <v>20</v>
      </c>
      <c r="B39" s="45">
        <v>2021</v>
      </c>
      <c r="C39" s="45" t="s">
        <v>65</v>
      </c>
      <c r="D39" s="45" t="s">
        <v>45</v>
      </c>
      <c r="E39" s="55">
        <v>100</v>
      </c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>
        <v>150</v>
      </c>
      <c r="Q39" s="55"/>
      <c r="R39" s="55"/>
      <c r="S39" s="55"/>
      <c r="T39" s="59">
        <v>20</v>
      </c>
      <c r="U39" s="55"/>
      <c r="V39" s="55"/>
      <c r="W39" s="55"/>
      <c r="X39" s="55"/>
      <c r="Y39" s="55">
        <f t="shared" si="0"/>
        <v>100</v>
      </c>
      <c r="Z39">
        <f t="shared" si="1"/>
        <v>0</v>
      </c>
      <c r="AA39">
        <f t="shared" si="2"/>
        <v>0</v>
      </c>
      <c r="AB39">
        <f t="shared" si="3"/>
        <v>0</v>
      </c>
      <c r="AC39">
        <f t="shared" si="4"/>
        <v>0</v>
      </c>
      <c r="AD39">
        <f t="shared" si="5"/>
        <v>150</v>
      </c>
      <c r="AE39">
        <f t="shared" si="6"/>
        <v>0</v>
      </c>
      <c r="AF39">
        <f t="shared" si="7"/>
        <v>20</v>
      </c>
      <c r="AG39">
        <f t="shared" si="8"/>
        <v>0</v>
      </c>
      <c r="AH39">
        <f t="shared" si="9"/>
        <v>0</v>
      </c>
    </row>
    <row r="40" spans="1:34" ht="15.5" x14ac:dyDescent="0.35">
      <c r="A40" s="45" t="s">
        <v>20</v>
      </c>
      <c r="B40" s="45">
        <v>2021</v>
      </c>
      <c r="C40" s="45" t="s">
        <v>43</v>
      </c>
      <c r="D40" s="45" t="s">
        <v>46</v>
      </c>
      <c r="E40" s="55"/>
      <c r="F40" s="55"/>
      <c r="G40" s="55"/>
      <c r="H40" s="56">
        <v>3000</v>
      </c>
      <c r="I40" s="55"/>
      <c r="J40" s="55"/>
      <c r="K40" s="55"/>
      <c r="L40" s="55"/>
      <c r="M40" s="55"/>
      <c r="N40" s="55"/>
      <c r="O40" s="55"/>
      <c r="P40" s="55"/>
      <c r="Q40" s="55"/>
      <c r="R40" s="55">
        <v>340</v>
      </c>
      <c r="S40" s="55"/>
      <c r="T40" s="55"/>
      <c r="U40" s="55">
        <v>40</v>
      </c>
      <c r="V40" s="55"/>
      <c r="W40" s="55"/>
      <c r="X40" s="55"/>
      <c r="Y40" s="55">
        <f t="shared" si="0"/>
        <v>0</v>
      </c>
      <c r="Z40">
        <f t="shared" si="1"/>
        <v>3000</v>
      </c>
      <c r="AA40">
        <f t="shared" si="2"/>
        <v>0</v>
      </c>
      <c r="AB40">
        <f t="shared" si="3"/>
        <v>0</v>
      </c>
      <c r="AC40">
        <f t="shared" si="4"/>
        <v>0</v>
      </c>
      <c r="AD40">
        <f t="shared" si="5"/>
        <v>0</v>
      </c>
      <c r="AE40">
        <f t="shared" si="6"/>
        <v>340</v>
      </c>
      <c r="AF40">
        <f t="shared" si="7"/>
        <v>0</v>
      </c>
      <c r="AG40">
        <f t="shared" si="8"/>
        <v>40</v>
      </c>
      <c r="AH40">
        <f t="shared" si="9"/>
        <v>0</v>
      </c>
    </row>
    <row r="41" spans="1:34" ht="15.5" x14ac:dyDescent="0.35">
      <c r="A41" s="45" t="s">
        <v>20</v>
      </c>
      <c r="B41" s="45">
        <v>2021</v>
      </c>
      <c r="C41" s="45" t="s">
        <v>43</v>
      </c>
      <c r="D41" s="45" t="s">
        <v>46</v>
      </c>
      <c r="E41" s="55"/>
      <c r="F41" s="55"/>
      <c r="G41" s="55"/>
      <c r="H41" s="55">
        <v>2000</v>
      </c>
      <c r="I41" s="55">
        <v>1500</v>
      </c>
      <c r="J41" s="55"/>
      <c r="K41" s="55">
        <v>300</v>
      </c>
      <c r="L41" s="55"/>
      <c r="M41" s="55"/>
      <c r="N41" s="56"/>
      <c r="O41" s="55"/>
      <c r="P41" s="55"/>
      <c r="Q41" s="55"/>
      <c r="R41" s="55"/>
      <c r="S41" s="55"/>
      <c r="T41" s="55"/>
      <c r="U41" s="55"/>
      <c r="V41" s="55"/>
      <c r="W41" s="55">
        <v>200</v>
      </c>
      <c r="X41" s="55"/>
      <c r="Y41" s="55">
        <f t="shared" si="0"/>
        <v>0</v>
      </c>
      <c r="Z41">
        <f t="shared" si="1"/>
        <v>2000</v>
      </c>
      <c r="AA41">
        <f t="shared" si="2"/>
        <v>1500</v>
      </c>
      <c r="AB41">
        <f t="shared" si="3"/>
        <v>300</v>
      </c>
      <c r="AC41">
        <f t="shared" si="4"/>
        <v>0</v>
      </c>
      <c r="AD41">
        <f t="shared" si="5"/>
        <v>0</v>
      </c>
      <c r="AE41">
        <f t="shared" si="6"/>
        <v>0</v>
      </c>
      <c r="AF41">
        <f t="shared" si="7"/>
        <v>0</v>
      </c>
      <c r="AG41">
        <f t="shared" si="8"/>
        <v>0</v>
      </c>
      <c r="AH41">
        <f t="shared" si="9"/>
        <v>200</v>
      </c>
    </row>
    <row r="42" spans="1:34" x14ac:dyDescent="0.35">
      <c r="A42" s="45" t="s">
        <v>20</v>
      </c>
      <c r="B42" s="45">
        <v>2021</v>
      </c>
      <c r="C42" s="45" t="s">
        <v>65</v>
      </c>
      <c r="D42" s="45" t="s">
        <v>139</v>
      </c>
      <c r="E42" s="55"/>
      <c r="F42" s="55"/>
      <c r="G42" s="55">
        <v>1500</v>
      </c>
      <c r="H42" s="55"/>
      <c r="I42" s="55"/>
      <c r="J42" s="55">
        <v>2000</v>
      </c>
      <c r="K42" s="55"/>
      <c r="L42" s="55"/>
      <c r="M42" s="55"/>
      <c r="N42" s="55"/>
      <c r="O42" s="55"/>
      <c r="P42" s="55"/>
      <c r="Q42" s="55"/>
      <c r="R42" s="55">
        <v>300</v>
      </c>
      <c r="S42" s="55"/>
      <c r="T42" s="55"/>
      <c r="U42" s="55"/>
      <c r="V42" s="55"/>
      <c r="W42" s="55"/>
      <c r="X42" s="55"/>
      <c r="Y42" s="55">
        <f t="shared" si="0"/>
        <v>0</v>
      </c>
      <c r="Z42">
        <f t="shared" si="1"/>
        <v>1500</v>
      </c>
      <c r="AA42">
        <f t="shared" si="2"/>
        <v>2000</v>
      </c>
      <c r="AB42">
        <f t="shared" si="3"/>
        <v>0</v>
      </c>
      <c r="AC42">
        <f t="shared" si="4"/>
        <v>0</v>
      </c>
      <c r="AD42">
        <f t="shared" si="5"/>
        <v>0</v>
      </c>
      <c r="AE42">
        <f t="shared" si="6"/>
        <v>300</v>
      </c>
      <c r="AF42">
        <f t="shared" si="7"/>
        <v>0</v>
      </c>
      <c r="AG42">
        <f t="shared" si="8"/>
        <v>0</v>
      </c>
      <c r="AH42">
        <f t="shared" si="9"/>
        <v>0</v>
      </c>
    </row>
    <row r="43" spans="1:34" ht="15.5" x14ac:dyDescent="0.35">
      <c r="A43" s="45" t="s">
        <v>20</v>
      </c>
      <c r="B43" s="45">
        <v>2021</v>
      </c>
      <c r="C43" s="45" t="s">
        <v>65</v>
      </c>
      <c r="D43" s="45" t="s">
        <v>139</v>
      </c>
      <c r="E43" s="55"/>
      <c r="F43" s="55"/>
      <c r="G43" s="55"/>
      <c r="H43" s="55"/>
      <c r="I43" s="55"/>
      <c r="J43" s="55"/>
      <c r="K43" s="55"/>
      <c r="L43" s="55"/>
      <c r="M43" s="55"/>
      <c r="N43" s="57"/>
      <c r="O43" s="55"/>
      <c r="P43" s="55"/>
      <c r="Q43" s="55">
        <v>2500</v>
      </c>
      <c r="R43" s="55"/>
      <c r="S43" s="55"/>
      <c r="T43" s="55"/>
      <c r="U43" s="55"/>
      <c r="V43" s="55">
        <v>1500</v>
      </c>
      <c r="W43" s="55"/>
      <c r="X43" s="55"/>
      <c r="Y43" s="55">
        <f t="shared" si="0"/>
        <v>0</v>
      </c>
      <c r="Z43">
        <f t="shared" si="1"/>
        <v>0</v>
      </c>
      <c r="AA43">
        <f t="shared" si="2"/>
        <v>0</v>
      </c>
      <c r="AB43">
        <f t="shared" si="3"/>
        <v>0</v>
      </c>
      <c r="AC43">
        <f t="shared" si="4"/>
        <v>0</v>
      </c>
      <c r="AD43">
        <f t="shared" si="5"/>
        <v>0</v>
      </c>
      <c r="AE43">
        <f t="shared" si="6"/>
        <v>2500</v>
      </c>
      <c r="AF43">
        <f t="shared" si="7"/>
        <v>0</v>
      </c>
      <c r="AG43">
        <f t="shared" si="8"/>
        <v>1500</v>
      </c>
      <c r="AH43">
        <f t="shared" si="9"/>
        <v>0</v>
      </c>
    </row>
    <row r="44" spans="1:34" ht="15.5" x14ac:dyDescent="0.35">
      <c r="A44" s="45" t="s">
        <v>20</v>
      </c>
      <c r="B44" s="45">
        <v>2021</v>
      </c>
      <c r="C44" s="45" t="s">
        <v>43</v>
      </c>
      <c r="D44" s="45" t="s">
        <v>69</v>
      </c>
      <c r="E44" s="55"/>
      <c r="F44" s="55"/>
      <c r="G44" s="55"/>
      <c r="H44" s="55"/>
      <c r="I44" s="55"/>
      <c r="J44" s="55"/>
      <c r="K44" s="55"/>
      <c r="L44" s="55">
        <v>1000</v>
      </c>
      <c r="M44" s="55">
        <v>10000</v>
      </c>
      <c r="N44" s="55"/>
      <c r="O44" s="55"/>
      <c r="P44" s="55">
        <v>500</v>
      </c>
      <c r="Q44" s="55"/>
      <c r="R44" s="55"/>
      <c r="S44" s="55">
        <v>12000</v>
      </c>
      <c r="T44" s="58"/>
      <c r="U44" s="55"/>
      <c r="V44" s="55"/>
      <c r="W44" s="55"/>
      <c r="X44" s="55"/>
      <c r="Y44" s="55">
        <f t="shared" si="0"/>
        <v>0</v>
      </c>
      <c r="Z44">
        <f t="shared" si="1"/>
        <v>0</v>
      </c>
      <c r="AA44">
        <f t="shared" si="2"/>
        <v>0</v>
      </c>
      <c r="AB44">
        <f t="shared" si="3"/>
        <v>1000</v>
      </c>
      <c r="AC44">
        <f t="shared" si="4"/>
        <v>10000</v>
      </c>
      <c r="AD44">
        <f t="shared" si="5"/>
        <v>500</v>
      </c>
      <c r="AE44">
        <f t="shared" si="6"/>
        <v>0</v>
      </c>
      <c r="AF44">
        <f t="shared" si="7"/>
        <v>12000</v>
      </c>
      <c r="AG44">
        <f t="shared" si="8"/>
        <v>0</v>
      </c>
      <c r="AH44">
        <f t="shared" si="9"/>
        <v>0</v>
      </c>
    </row>
    <row r="45" spans="1:34" ht="15.5" x14ac:dyDescent="0.35">
      <c r="A45" s="45" t="s">
        <v>20</v>
      </c>
      <c r="B45" s="45">
        <v>2021</v>
      </c>
      <c r="C45" s="45" t="s">
        <v>43</v>
      </c>
      <c r="D45" s="45" t="s">
        <v>140</v>
      </c>
      <c r="E45" s="55"/>
      <c r="F45" s="55"/>
      <c r="G45" s="55"/>
      <c r="H45" s="55"/>
      <c r="I45" s="55"/>
      <c r="J45" s="55"/>
      <c r="K45" s="55">
        <v>700</v>
      </c>
      <c r="L45" s="55"/>
      <c r="M45" s="55"/>
      <c r="N45" s="59"/>
      <c r="O45" s="55">
        <v>1000</v>
      </c>
      <c r="P45" s="55"/>
      <c r="Q45" s="55"/>
      <c r="R45" s="55"/>
      <c r="S45" s="55"/>
      <c r="T45" s="55">
        <v>200</v>
      </c>
      <c r="U45" s="55"/>
      <c r="V45" s="55"/>
      <c r="W45" s="55"/>
      <c r="X45" s="55"/>
      <c r="Y45" s="55">
        <f t="shared" si="0"/>
        <v>0</v>
      </c>
      <c r="Z45">
        <f t="shared" si="1"/>
        <v>0</v>
      </c>
      <c r="AA45">
        <f t="shared" si="2"/>
        <v>0</v>
      </c>
      <c r="AB45">
        <f t="shared" si="3"/>
        <v>700</v>
      </c>
      <c r="AC45">
        <f t="shared" si="4"/>
        <v>0</v>
      </c>
      <c r="AD45">
        <f t="shared" si="5"/>
        <v>1000</v>
      </c>
      <c r="AE45">
        <f t="shared" si="6"/>
        <v>0</v>
      </c>
      <c r="AF45">
        <f t="shared" si="7"/>
        <v>200</v>
      </c>
      <c r="AG45">
        <f t="shared" si="8"/>
        <v>0</v>
      </c>
      <c r="AH45">
        <f t="shared" si="9"/>
        <v>0</v>
      </c>
    </row>
    <row r="46" spans="1:34" ht="15.5" x14ac:dyDescent="0.35">
      <c r="A46" s="45" t="s">
        <v>20</v>
      </c>
      <c r="B46" s="45">
        <v>2021</v>
      </c>
      <c r="C46" s="45" t="s">
        <v>65</v>
      </c>
      <c r="D46" s="45" t="s">
        <v>141</v>
      </c>
      <c r="E46" s="55">
        <v>208</v>
      </c>
      <c r="F46" s="55"/>
      <c r="G46" s="55"/>
      <c r="H46" s="55"/>
      <c r="I46" s="55"/>
      <c r="J46" s="55"/>
      <c r="K46" s="55"/>
      <c r="L46" s="55"/>
      <c r="M46" s="55"/>
      <c r="N46" s="55">
        <v>50</v>
      </c>
      <c r="O46" s="55"/>
      <c r="P46" s="55"/>
      <c r="Q46" s="55"/>
      <c r="R46" s="55"/>
      <c r="S46" s="55"/>
      <c r="T46" s="59"/>
      <c r="U46" s="55"/>
      <c r="V46" s="55"/>
      <c r="W46" s="55"/>
      <c r="X46" s="55"/>
      <c r="Y46" s="55">
        <f t="shared" si="0"/>
        <v>208</v>
      </c>
      <c r="Z46">
        <f t="shared" si="1"/>
        <v>0</v>
      </c>
      <c r="AA46">
        <f t="shared" si="2"/>
        <v>0</v>
      </c>
      <c r="AB46">
        <f t="shared" si="3"/>
        <v>0</v>
      </c>
      <c r="AC46">
        <f t="shared" si="4"/>
        <v>50</v>
      </c>
      <c r="AD46">
        <f t="shared" si="5"/>
        <v>0</v>
      </c>
      <c r="AE46">
        <f t="shared" si="6"/>
        <v>0</v>
      </c>
      <c r="AF46">
        <f t="shared" si="7"/>
        <v>0</v>
      </c>
      <c r="AG46">
        <f t="shared" si="8"/>
        <v>0</v>
      </c>
      <c r="AH46">
        <f t="shared" si="9"/>
        <v>0</v>
      </c>
    </row>
    <row r="47" spans="1:34" ht="15.5" x14ac:dyDescent="0.35">
      <c r="A47" s="45" t="s">
        <v>20</v>
      </c>
      <c r="B47" s="45">
        <v>2021</v>
      </c>
      <c r="C47" s="45" t="s">
        <v>65</v>
      </c>
      <c r="D47" s="45" t="s">
        <v>69</v>
      </c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6"/>
      <c r="P47" s="55"/>
      <c r="Q47" s="55"/>
      <c r="R47" s="55"/>
      <c r="S47" s="55"/>
      <c r="T47" s="55"/>
      <c r="U47" s="55"/>
      <c r="V47" s="55"/>
      <c r="W47" s="55"/>
      <c r="X47" s="55"/>
      <c r="Y47" s="55">
        <f t="shared" si="0"/>
        <v>0</v>
      </c>
      <c r="Z47">
        <f t="shared" si="1"/>
        <v>0</v>
      </c>
      <c r="AA47">
        <f t="shared" si="2"/>
        <v>0</v>
      </c>
      <c r="AB47">
        <f t="shared" si="3"/>
        <v>0</v>
      </c>
      <c r="AC47">
        <f t="shared" si="4"/>
        <v>0</v>
      </c>
      <c r="AD47">
        <f t="shared" si="5"/>
        <v>0</v>
      </c>
      <c r="AE47">
        <f t="shared" si="6"/>
        <v>0</v>
      </c>
      <c r="AF47">
        <f t="shared" si="7"/>
        <v>0</v>
      </c>
      <c r="AG47">
        <f t="shared" si="8"/>
        <v>0</v>
      </c>
      <c r="AH47">
        <f t="shared" si="9"/>
        <v>0</v>
      </c>
    </row>
    <row r="48" spans="1:34" ht="15.5" x14ac:dyDescent="0.35">
      <c r="A48" s="45" t="s">
        <v>20</v>
      </c>
      <c r="B48" s="45">
        <v>2021</v>
      </c>
      <c r="C48" s="45" t="s">
        <v>43</v>
      </c>
      <c r="D48" s="45" t="s">
        <v>142</v>
      </c>
      <c r="E48" s="55"/>
      <c r="F48" s="55"/>
      <c r="G48" s="55"/>
      <c r="H48" s="55"/>
      <c r="I48" s="55"/>
      <c r="J48" s="55"/>
      <c r="K48" s="55"/>
      <c r="L48" s="60"/>
      <c r="M48" s="55"/>
      <c r="N48" s="55"/>
      <c r="O48" s="55"/>
      <c r="P48" s="55"/>
      <c r="Q48" s="55"/>
      <c r="R48" s="55"/>
      <c r="S48" s="55">
        <v>300</v>
      </c>
      <c r="T48" s="55"/>
      <c r="U48" s="55"/>
      <c r="V48" s="55"/>
      <c r="W48" s="59"/>
      <c r="X48" s="55"/>
      <c r="Y48" s="55">
        <f t="shared" si="0"/>
        <v>0</v>
      </c>
      <c r="Z48">
        <f t="shared" si="1"/>
        <v>0</v>
      </c>
      <c r="AA48">
        <f t="shared" si="2"/>
        <v>0</v>
      </c>
      <c r="AB48">
        <f t="shared" si="3"/>
        <v>0</v>
      </c>
      <c r="AC48">
        <f t="shared" si="4"/>
        <v>0</v>
      </c>
      <c r="AD48">
        <f t="shared" si="5"/>
        <v>0</v>
      </c>
      <c r="AE48">
        <f t="shared" si="6"/>
        <v>0</v>
      </c>
      <c r="AF48">
        <f t="shared" si="7"/>
        <v>300</v>
      </c>
      <c r="AG48">
        <f t="shared" si="8"/>
        <v>0</v>
      </c>
      <c r="AH48">
        <f t="shared" si="9"/>
        <v>0</v>
      </c>
    </row>
    <row r="49" spans="1:34" ht="15.5" x14ac:dyDescent="0.35">
      <c r="A49" s="45" t="s">
        <v>20</v>
      </c>
      <c r="B49" s="45">
        <v>2021</v>
      </c>
      <c r="C49" s="45" t="s">
        <v>43</v>
      </c>
      <c r="D49" s="45" t="s">
        <v>44</v>
      </c>
      <c r="E49" s="55">
        <v>300</v>
      </c>
      <c r="F49" s="55"/>
      <c r="G49" s="55"/>
      <c r="H49" s="56"/>
      <c r="I49" s="55"/>
      <c r="J49" s="55"/>
      <c r="K49" s="55"/>
      <c r="L49" s="55"/>
      <c r="M49" s="55"/>
      <c r="N49" s="55"/>
      <c r="O49" s="57"/>
      <c r="P49" s="55"/>
      <c r="Q49" s="55"/>
      <c r="R49" s="55">
        <v>2500</v>
      </c>
      <c r="S49" s="55"/>
      <c r="T49" s="55"/>
      <c r="U49" s="55"/>
      <c r="V49" s="55"/>
      <c r="W49" s="59"/>
      <c r="X49" s="55"/>
      <c r="Y49" s="55">
        <f t="shared" si="0"/>
        <v>300</v>
      </c>
      <c r="Z49">
        <f t="shared" si="1"/>
        <v>0</v>
      </c>
      <c r="AA49">
        <f t="shared" si="2"/>
        <v>0</v>
      </c>
      <c r="AB49">
        <f t="shared" si="3"/>
        <v>0</v>
      </c>
      <c r="AC49">
        <f t="shared" si="4"/>
        <v>0</v>
      </c>
      <c r="AD49">
        <f t="shared" si="5"/>
        <v>0</v>
      </c>
      <c r="AE49">
        <f t="shared" si="6"/>
        <v>2500</v>
      </c>
      <c r="AF49">
        <f t="shared" si="7"/>
        <v>0</v>
      </c>
      <c r="AG49">
        <f t="shared" si="8"/>
        <v>0</v>
      </c>
      <c r="AH49">
        <f t="shared" si="9"/>
        <v>0</v>
      </c>
    </row>
    <row r="50" spans="1:34" ht="15.5" x14ac:dyDescent="0.35">
      <c r="A50" s="45" t="s">
        <v>20</v>
      </c>
      <c r="B50" s="45">
        <v>2021</v>
      </c>
      <c r="C50" s="45" t="s">
        <v>65</v>
      </c>
      <c r="D50" s="45" t="s">
        <v>45</v>
      </c>
      <c r="E50" s="55"/>
      <c r="F50" s="55"/>
      <c r="G50" s="55"/>
      <c r="H50" s="55"/>
      <c r="I50" s="55"/>
      <c r="J50" s="55"/>
      <c r="K50" s="55"/>
      <c r="L50" s="55"/>
      <c r="M50" s="55"/>
      <c r="N50" s="55">
        <v>10000</v>
      </c>
      <c r="O50" s="55"/>
      <c r="P50" s="55"/>
      <c r="Q50" s="55">
        <v>500</v>
      </c>
      <c r="R50" s="55"/>
      <c r="S50" s="55"/>
      <c r="T50" s="55">
        <v>12000</v>
      </c>
      <c r="U50" s="58"/>
      <c r="V50" s="55">
        <v>10000</v>
      </c>
      <c r="W50" s="55"/>
      <c r="X50" s="55"/>
      <c r="Y50" s="55">
        <f t="shared" si="0"/>
        <v>0</v>
      </c>
      <c r="Z50">
        <f t="shared" si="1"/>
        <v>0</v>
      </c>
      <c r="AA50">
        <f t="shared" si="2"/>
        <v>0</v>
      </c>
      <c r="AB50">
        <f t="shared" si="3"/>
        <v>0</v>
      </c>
      <c r="AC50">
        <f t="shared" si="4"/>
        <v>10000</v>
      </c>
      <c r="AD50">
        <f t="shared" si="5"/>
        <v>0</v>
      </c>
      <c r="AE50">
        <f t="shared" si="6"/>
        <v>500</v>
      </c>
      <c r="AF50">
        <f t="shared" si="7"/>
        <v>12000</v>
      </c>
      <c r="AG50">
        <f t="shared" si="8"/>
        <v>10000</v>
      </c>
      <c r="AH50">
        <f t="shared" si="9"/>
        <v>0</v>
      </c>
    </row>
    <row r="51" spans="1:34" ht="15.5" x14ac:dyDescent="0.35">
      <c r="A51" s="45" t="s">
        <v>20</v>
      </c>
      <c r="B51" s="45">
        <v>2021</v>
      </c>
      <c r="C51" s="45" t="s">
        <v>65</v>
      </c>
      <c r="D51" s="45" t="s">
        <v>44</v>
      </c>
      <c r="E51" s="55"/>
      <c r="F51" s="55"/>
      <c r="G51" s="55"/>
      <c r="H51" s="57"/>
      <c r="I51" s="55"/>
      <c r="J51" s="55"/>
      <c r="K51" s="55">
        <v>2500</v>
      </c>
      <c r="L51" s="55"/>
      <c r="M51" s="55"/>
      <c r="N51" s="55"/>
      <c r="O51" s="59"/>
      <c r="P51" s="55">
        <v>1000</v>
      </c>
      <c r="Q51" s="55"/>
      <c r="R51" s="55"/>
      <c r="S51" s="55"/>
      <c r="T51" s="55"/>
      <c r="U51" s="55">
        <v>200</v>
      </c>
      <c r="V51" s="55"/>
      <c r="W51" s="59"/>
      <c r="X51" s="55">
        <v>500</v>
      </c>
      <c r="Y51" s="55">
        <f t="shared" si="0"/>
        <v>0</v>
      </c>
      <c r="Z51">
        <f t="shared" si="1"/>
        <v>0</v>
      </c>
      <c r="AA51">
        <f t="shared" si="2"/>
        <v>0</v>
      </c>
      <c r="AB51">
        <f t="shared" si="3"/>
        <v>2500</v>
      </c>
      <c r="AC51">
        <f t="shared" si="4"/>
        <v>0</v>
      </c>
      <c r="AD51">
        <f t="shared" si="5"/>
        <v>1000</v>
      </c>
      <c r="AE51">
        <f t="shared" si="6"/>
        <v>0</v>
      </c>
      <c r="AF51">
        <f t="shared" si="7"/>
        <v>0</v>
      </c>
      <c r="AG51">
        <f t="shared" si="8"/>
        <v>200</v>
      </c>
      <c r="AH51">
        <f t="shared" si="9"/>
        <v>500</v>
      </c>
    </row>
    <row r="52" spans="1:34" ht="15.5" x14ac:dyDescent="0.35">
      <c r="A52" s="45" t="s">
        <v>20</v>
      </c>
      <c r="B52" s="45">
        <v>2017</v>
      </c>
      <c r="C52" s="45" t="s">
        <v>43</v>
      </c>
      <c r="D52" s="45" t="s">
        <v>45</v>
      </c>
      <c r="E52" s="55"/>
      <c r="F52" s="55">
        <v>1000</v>
      </c>
      <c r="G52" s="55">
        <v>10000</v>
      </c>
      <c r="H52" s="55"/>
      <c r="I52" s="55"/>
      <c r="J52" s="55">
        <v>500</v>
      </c>
      <c r="K52" s="55"/>
      <c r="L52" s="55"/>
      <c r="M52" s="55"/>
      <c r="N52" s="55"/>
      <c r="O52" s="55">
        <v>50</v>
      </c>
      <c r="P52" s="55"/>
      <c r="Q52" s="55"/>
      <c r="R52" s="55"/>
      <c r="S52" s="55"/>
      <c r="T52" s="55"/>
      <c r="U52" s="59"/>
      <c r="V52" s="55"/>
      <c r="W52" s="59"/>
      <c r="X52" s="55">
        <v>300</v>
      </c>
      <c r="Y52" s="55">
        <f t="shared" si="0"/>
        <v>1000</v>
      </c>
      <c r="Z52">
        <f t="shared" si="1"/>
        <v>10000</v>
      </c>
      <c r="AA52">
        <f t="shared" si="2"/>
        <v>500</v>
      </c>
      <c r="AB52">
        <f t="shared" si="3"/>
        <v>0</v>
      </c>
      <c r="AC52">
        <f t="shared" si="4"/>
        <v>0</v>
      </c>
      <c r="AD52">
        <f t="shared" si="5"/>
        <v>50</v>
      </c>
      <c r="AE52">
        <f t="shared" si="6"/>
        <v>0</v>
      </c>
      <c r="AF52">
        <f t="shared" si="7"/>
        <v>0</v>
      </c>
      <c r="AG52">
        <f t="shared" si="8"/>
        <v>0</v>
      </c>
      <c r="AH52">
        <f t="shared" si="9"/>
        <v>300</v>
      </c>
    </row>
    <row r="53" spans="1:34" ht="15.5" x14ac:dyDescent="0.35">
      <c r="A53" s="45" t="s">
        <v>20</v>
      </c>
      <c r="B53" s="45">
        <v>2017</v>
      </c>
      <c r="C53" s="45" t="s">
        <v>43</v>
      </c>
      <c r="D53" s="45" t="s">
        <v>44</v>
      </c>
      <c r="E53" s="55">
        <v>700</v>
      </c>
      <c r="F53" s="55"/>
      <c r="G53" s="55"/>
      <c r="H53" s="59"/>
      <c r="I53" s="55">
        <v>1000</v>
      </c>
      <c r="J53" s="55"/>
      <c r="K53" s="55"/>
      <c r="L53" s="55"/>
      <c r="M53" s="55"/>
      <c r="N53" s="55"/>
      <c r="O53" s="59"/>
      <c r="P53" s="55"/>
      <c r="Q53" s="55"/>
      <c r="R53" s="55"/>
      <c r="S53" s="55"/>
      <c r="T53" s="55"/>
      <c r="U53" s="55"/>
      <c r="V53" s="55"/>
      <c r="W53" s="55"/>
      <c r="X53" s="55"/>
      <c r="Y53" s="55">
        <f t="shared" si="0"/>
        <v>700</v>
      </c>
      <c r="Z53">
        <f t="shared" si="1"/>
        <v>0</v>
      </c>
      <c r="AA53">
        <f t="shared" si="2"/>
        <v>1000</v>
      </c>
      <c r="AB53">
        <f t="shared" si="3"/>
        <v>0</v>
      </c>
      <c r="AC53">
        <f t="shared" si="4"/>
        <v>0</v>
      </c>
      <c r="AD53">
        <f t="shared" si="5"/>
        <v>0</v>
      </c>
      <c r="AE53">
        <f t="shared" si="6"/>
        <v>0</v>
      </c>
      <c r="AF53">
        <f t="shared" si="7"/>
        <v>0</v>
      </c>
      <c r="AG53">
        <f t="shared" si="8"/>
        <v>0</v>
      </c>
      <c r="AH53">
        <f t="shared" si="9"/>
        <v>0</v>
      </c>
    </row>
    <row r="54" spans="1:34" ht="15.5" x14ac:dyDescent="0.35">
      <c r="A54" s="45" t="s">
        <v>20</v>
      </c>
      <c r="B54" s="45">
        <v>2017</v>
      </c>
      <c r="C54" s="45" t="s">
        <v>65</v>
      </c>
      <c r="D54" s="45" t="s">
        <v>45</v>
      </c>
      <c r="E54" s="55"/>
      <c r="F54" s="55"/>
      <c r="G54" s="55"/>
      <c r="H54" s="55">
        <v>50</v>
      </c>
      <c r="I54" s="55"/>
      <c r="J54" s="55"/>
      <c r="K54" s="55"/>
      <c r="L54" s="55"/>
      <c r="M54" s="55"/>
      <c r="N54" s="55"/>
      <c r="O54" s="59"/>
      <c r="P54" s="55"/>
      <c r="Q54" s="55"/>
      <c r="R54" s="55"/>
      <c r="S54" s="55"/>
      <c r="T54" s="55"/>
      <c r="U54" s="55"/>
      <c r="V54" s="55"/>
      <c r="W54" s="59"/>
      <c r="X54" s="55">
        <v>12000</v>
      </c>
      <c r="Y54" s="55">
        <f t="shared" si="0"/>
        <v>0</v>
      </c>
      <c r="Z54">
        <f t="shared" si="1"/>
        <v>50</v>
      </c>
      <c r="AA54">
        <f t="shared" si="2"/>
        <v>0</v>
      </c>
      <c r="AB54">
        <f t="shared" si="3"/>
        <v>0</v>
      </c>
      <c r="AC54">
        <f t="shared" si="4"/>
        <v>0</v>
      </c>
      <c r="AD54">
        <f t="shared" si="5"/>
        <v>0</v>
      </c>
      <c r="AE54">
        <f t="shared" si="6"/>
        <v>0</v>
      </c>
      <c r="AF54">
        <f t="shared" si="7"/>
        <v>0</v>
      </c>
      <c r="AG54">
        <f t="shared" si="8"/>
        <v>0</v>
      </c>
      <c r="AH54">
        <f t="shared" si="9"/>
        <v>12000</v>
      </c>
    </row>
    <row r="55" spans="1:34" ht="15.5" x14ac:dyDescent="0.35">
      <c r="A55" s="45" t="s">
        <v>20</v>
      </c>
      <c r="B55" s="45">
        <v>2017</v>
      </c>
      <c r="C55" s="45" t="s">
        <v>65</v>
      </c>
      <c r="D55" s="45" t="s">
        <v>46</v>
      </c>
      <c r="E55" s="55"/>
      <c r="F55" s="55"/>
      <c r="G55" s="55"/>
      <c r="H55" s="55"/>
      <c r="I55" s="56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9"/>
      <c r="X55" s="55"/>
      <c r="Y55" s="55">
        <f t="shared" si="0"/>
        <v>0</v>
      </c>
      <c r="Z55">
        <f t="shared" si="1"/>
        <v>0</v>
      </c>
      <c r="AA55">
        <f t="shared" si="2"/>
        <v>0</v>
      </c>
      <c r="AB55">
        <f t="shared" si="3"/>
        <v>0</v>
      </c>
      <c r="AC55">
        <f t="shared" si="4"/>
        <v>0</v>
      </c>
      <c r="AD55">
        <f t="shared" si="5"/>
        <v>0</v>
      </c>
      <c r="AE55">
        <f t="shared" si="6"/>
        <v>0</v>
      </c>
      <c r="AF55">
        <f t="shared" si="7"/>
        <v>0</v>
      </c>
      <c r="AG55">
        <f t="shared" si="8"/>
        <v>0</v>
      </c>
      <c r="AH55">
        <f t="shared" si="9"/>
        <v>0</v>
      </c>
    </row>
    <row r="56" spans="1:34" ht="15.5" x14ac:dyDescent="0.35">
      <c r="A56" s="45" t="s">
        <v>20</v>
      </c>
      <c r="B56" s="45">
        <v>2016</v>
      </c>
      <c r="C56" s="45" t="s">
        <v>43</v>
      </c>
      <c r="D56" s="45" t="s">
        <v>46</v>
      </c>
      <c r="E56" s="55"/>
      <c r="F56" s="60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>
        <v>500</v>
      </c>
      <c r="S56" s="55"/>
      <c r="T56" s="55"/>
      <c r="U56" s="55"/>
      <c r="V56" s="55"/>
      <c r="W56" s="55"/>
      <c r="X56" s="55"/>
      <c r="Y56" s="55">
        <f t="shared" si="0"/>
        <v>0</v>
      </c>
      <c r="Z56">
        <f t="shared" si="1"/>
        <v>0</v>
      </c>
      <c r="AA56">
        <f t="shared" si="2"/>
        <v>0</v>
      </c>
      <c r="AB56">
        <f t="shared" si="3"/>
        <v>0</v>
      </c>
      <c r="AC56">
        <f t="shared" si="4"/>
        <v>0</v>
      </c>
      <c r="AD56">
        <f t="shared" si="5"/>
        <v>0</v>
      </c>
      <c r="AE56">
        <f t="shared" si="6"/>
        <v>500</v>
      </c>
      <c r="AF56">
        <f t="shared" si="7"/>
        <v>0</v>
      </c>
      <c r="AG56">
        <f t="shared" si="8"/>
        <v>0</v>
      </c>
      <c r="AH56">
        <f t="shared" si="9"/>
        <v>0</v>
      </c>
    </row>
    <row r="57" spans="1:34" ht="15.5" x14ac:dyDescent="0.35">
      <c r="A57" s="45" t="s">
        <v>20</v>
      </c>
      <c r="B57" s="45">
        <v>2016</v>
      </c>
      <c r="C57" s="45" t="s">
        <v>43</v>
      </c>
      <c r="D57" s="45" t="s">
        <v>139</v>
      </c>
      <c r="E57" s="55"/>
      <c r="F57" s="55"/>
      <c r="G57" s="55"/>
      <c r="H57" s="55"/>
      <c r="I57" s="57"/>
      <c r="J57" s="55"/>
      <c r="K57" s="55"/>
      <c r="L57" s="55"/>
      <c r="M57" s="55"/>
      <c r="N57" s="60"/>
      <c r="O57" s="55"/>
      <c r="P57" s="55"/>
      <c r="Q57" s="55"/>
      <c r="R57" s="55"/>
      <c r="S57" s="55"/>
      <c r="T57" s="55"/>
      <c r="U57" s="55"/>
      <c r="V57" s="59"/>
      <c r="W57" s="55"/>
      <c r="X57" s="55">
        <v>300</v>
      </c>
      <c r="Y57" s="55">
        <f t="shared" si="0"/>
        <v>0</v>
      </c>
      <c r="Z57">
        <f t="shared" si="1"/>
        <v>0</v>
      </c>
      <c r="AA57">
        <f t="shared" si="2"/>
        <v>0</v>
      </c>
      <c r="AB57">
        <f t="shared" si="3"/>
        <v>0</v>
      </c>
      <c r="AC57">
        <f t="shared" si="4"/>
        <v>0</v>
      </c>
      <c r="AD57">
        <f t="shared" si="5"/>
        <v>0</v>
      </c>
      <c r="AE57">
        <f t="shared" si="6"/>
        <v>0</v>
      </c>
      <c r="AF57">
        <f t="shared" si="7"/>
        <v>0</v>
      </c>
      <c r="AG57">
        <f t="shared" si="8"/>
        <v>0</v>
      </c>
      <c r="AH57">
        <f t="shared" si="9"/>
        <v>300</v>
      </c>
    </row>
    <row r="58" spans="1:34" x14ac:dyDescent="0.35">
      <c r="A58" s="45" t="s">
        <v>20</v>
      </c>
      <c r="B58" s="45">
        <v>2016</v>
      </c>
      <c r="C58" s="45" t="s">
        <v>65</v>
      </c>
      <c r="D58" s="45" t="s">
        <v>139</v>
      </c>
      <c r="E58" s="55"/>
      <c r="F58" s="55"/>
      <c r="G58" s="55"/>
      <c r="H58" s="55">
        <v>10000</v>
      </c>
      <c r="I58" s="55"/>
      <c r="J58" s="55"/>
      <c r="K58" s="55">
        <v>500</v>
      </c>
      <c r="L58" s="55"/>
      <c r="M58" s="55"/>
      <c r="N58" s="55"/>
      <c r="O58" s="55"/>
      <c r="P58" s="55"/>
      <c r="Q58" s="55">
        <v>500</v>
      </c>
      <c r="R58" s="55"/>
      <c r="S58" s="55"/>
      <c r="T58" s="55"/>
      <c r="U58" s="55"/>
      <c r="V58" s="55"/>
      <c r="W58" s="55">
        <v>2500</v>
      </c>
      <c r="X58" s="55"/>
      <c r="Y58" s="55">
        <f t="shared" si="0"/>
        <v>0</v>
      </c>
      <c r="Z58">
        <f t="shared" si="1"/>
        <v>10000</v>
      </c>
      <c r="AA58">
        <f t="shared" si="2"/>
        <v>0</v>
      </c>
      <c r="AB58">
        <f t="shared" si="3"/>
        <v>500</v>
      </c>
      <c r="AC58">
        <f t="shared" si="4"/>
        <v>0</v>
      </c>
      <c r="AD58">
        <f t="shared" si="5"/>
        <v>0</v>
      </c>
      <c r="AE58">
        <f t="shared" si="6"/>
        <v>500</v>
      </c>
      <c r="AF58">
        <f t="shared" si="7"/>
        <v>0</v>
      </c>
      <c r="AG58">
        <f t="shared" si="8"/>
        <v>0</v>
      </c>
      <c r="AH58">
        <f t="shared" si="9"/>
        <v>2500</v>
      </c>
    </row>
    <row r="59" spans="1:34" ht="15.5" x14ac:dyDescent="0.35">
      <c r="A59" s="45" t="s">
        <v>20</v>
      </c>
      <c r="B59" s="45">
        <v>2016</v>
      </c>
      <c r="C59" s="45" t="s">
        <v>65</v>
      </c>
      <c r="D59" s="45" t="s">
        <v>69</v>
      </c>
      <c r="E59" s="55">
        <v>1500</v>
      </c>
      <c r="F59" s="55"/>
      <c r="G59" s="55">
        <v>300</v>
      </c>
      <c r="H59" s="55"/>
      <c r="I59" s="55"/>
      <c r="J59" s="56"/>
      <c r="K59" s="55"/>
      <c r="L59" s="55"/>
      <c r="M59" s="55"/>
      <c r="N59" s="55"/>
      <c r="O59" s="55"/>
      <c r="P59" s="55"/>
      <c r="Q59" s="55">
        <v>300</v>
      </c>
      <c r="R59" s="55"/>
      <c r="S59" s="55"/>
      <c r="T59" s="55"/>
      <c r="U59" s="55"/>
      <c r="V59" s="55"/>
      <c r="W59" s="55"/>
      <c r="X59" s="55"/>
      <c r="Y59" s="55">
        <f t="shared" si="0"/>
        <v>1500</v>
      </c>
      <c r="Z59">
        <f t="shared" si="1"/>
        <v>300</v>
      </c>
      <c r="AA59">
        <f t="shared" si="2"/>
        <v>0</v>
      </c>
      <c r="AB59">
        <f t="shared" si="3"/>
        <v>0</v>
      </c>
      <c r="AC59">
        <f t="shared" si="4"/>
        <v>0</v>
      </c>
      <c r="AD59">
        <f t="shared" si="5"/>
        <v>0</v>
      </c>
      <c r="AE59">
        <f t="shared" si="6"/>
        <v>300</v>
      </c>
      <c r="AF59">
        <f t="shared" si="7"/>
        <v>0</v>
      </c>
      <c r="AG59">
        <f t="shared" si="8"/>
        <v>0</v>
      </c>
      <c r="AH59">
        <f t="shared" si="9"/>
        <v>0</v>
      </c>
    </row>
    <row r="60" spans="1:34" x14ac:dyDescent="0.35">
      <c r="A60" s="45" t="s">
        <v>20</v>
      </c>
      <c r="B60" s="45">
        <v>2016</v>
      </c>
      <c r="C60" s="45" t="s">
        <v>43</v>
      </c>
      <c r="D60" s="45" t="s">
        <v>140</v>
      </c>
      <c r="E60" s="55"/>
      <c r="F60" s="55">
        <v>2000</v>
      </c>
      <c r="G60" s="55"/>
      <c r="H60" s="55"/>
      <c r="I60" s="55"/>
      <c r="J60" s="55"/>
      <c r="K60" s="55"/>
      <c r="L60" s="55"/>
      <c r="M60" s="55"/>
      <c r="N60" s="55">
        <v>300</v>
      </c>
      <c r="O60" s="55"/>
      <c r="P60" s="55"/>
      <c r="Q60" s="55"/>
      <c r="R60" s="55"/>
      <c r="S60" s="55">
        <v>2000</v>
      </c>
      <c r="T60" s="55">
        <v>1500</v>
      </c>
      <c r="U60" s="55"/>
      <c r="V60" s="55">
        <v>300</v>
      </c>
      <c r="W60" s="55"/>
      <c r="X60" s="55"/>
      <c r="Y60" s="55">
        <f t="shared" si="0"/>
        <v>2000</v>
      </c>
      <c r="Z60">
        <f t="shared" si="1"/>
        <v>0</v>
      </c>
      <c r="AA60">
        <f t="shared" si="2"/>
        <v>0</v>
      </c>
      <c r="AB60">
        <f t="shared" si="3"/>
        <v>0</v>
      </c>
      <c r="AC60">
        <f t="shared" si="4"/>
        <v>300</v>
      </c>
      <c r="AD60">
        <f t="shared" si="5"/>
        <v>0</v>
      </c>
      <c r="AE60">
        <f t="shared" si="6"/>
        <v>0</v>
      </c>
      <c r="AF60">
        <f t="shared" si="7"/>
        <v>3500</v>
      </c>
      <c r="AG60">
        <f t="shared" si="8"/>
        <v>300</v>
      </c>
      <c r="AH60">
        <f t="shared" si="9"/>
        <v>0</v>
      </c>
    </row>
    <row r="61" spans="1:34" ht="15.5" x14ac:dyDescent="0.35">
      <c r="A61" s="45" t="s">
        <v>20</v>
      </c>
      <c r="B61" s="45">
        <v>2022</v>
      </c>
      <c r="C61" s="45" t="s">
        <v>43</v>
      </c>
      <c r="D61" s="45" t="s">
        <v>141</v>
      </c>
      <c r="E61" s="55"/>
      <c r="F61" s="55"/>
      <c r="G61" s="55"/>
      <c r="H61" s="55"/>
      <c r="I61" s="55"/>
      <c r="J61" s="57"/>
      <c r="K61" s="55"/>
      <c r="L61" s="55"/>
      <c r="M61" s="55">
        <v>2500</v>
      </c>
      <c r="N61" s="55"/>
      <c r="O61" s="55"/>
      <c r="P61" s="55"/>
      <c r="Q61" s="55"/>
      <c r="R61" s="55"/>
      <c r="S61" s="55"/>
      <c r="T61" s="55"/>
      <c r="U61" s="55"/>
      <c r="V61" s="56">
        <v>3000</v>
      </c>
      <c r="W61" s="55"/>
      <c r="X61" s="55"/>
      <c r="Y61" s="55">
        <f t="shared" si="0"/>
        <v>0</v>
      </c>
      <c r="Z61">
        <f t="shared" si="1"/>
        <v>0</v>
      </c>
      <c r="AA61">
        <f t="shared" si="2"/>
        <v>0</v>
      </c>
      <c r="AB61">
        <f t="shared" si="3"/>
        <v>0</v>
      </c>
      <c r="AC61">
        <f t="shared" si="4"/>
        <v>2500</v>
      </c>
      <c r="AD61">
        <f t="shared" si="5"/>
        <v>0</v>
      </c>
      <c r="AE61">
        <f t="shared" si="6"/>
        <v>0</v>
      </c>
      <c r="AF61">
        <f t="shared" si="7"/>
        <v>0</v>
      </c>
      <c r="AG61">
        <f t="shared" si="8"/>
        <v>3000</v>
      </c>
      <c r="AH61">
        <f t="shared" si="9"/>
        <v>0</v>
      </c>
    </row>
    <row r="62" spans="1:34" x14ac:dyDescent="0.35">
      <c r="A62" s="45" t="s">
        <v>20</v>
      </c>
      <c r="B62" s="45">
        <v>2022</v>
      </c>
      <c r="C62" s="45" t="s">
        <v>65</v>
      </c>
      <c r="D62" s="45" t="s">
        <v>69</v>
      </c>
      <c r="E62" s="55"/>
      <c r="F62" s="55"/>
      <c r="G62" s="55"/>
      <c r="H62" s="55">
        <v>1000</v>
      </c>
      <c r="I62" s="55">
        <v>10000</v>
      </c>
      <c r="J62" s="55"/>
      <c r="K62" s="55"/>
      <c r="L62" s="55">
        <v>500</v>
      </c>
      <c r="M62" s="55"/>
      <c r="N62" s="55"/>
      <c r="O62" s="55">
        <v>12000</v>
      </c>
      <c r="P62" s="55"/>
      <c r="Q62" s="55"/>
      <c r="R62" s="55"/>
      <c r="S62" s="55"/>
      <c r="T62" s="55"/>
      <c r="U62" s="55"/>
      <c r="V62" s="55">
        <v>2000</v>
      </c>
      <c r="W62" s="55"/>
      <c r="X62" s="55"/>
      <c r="Y62" s="55">
        <f t="shared" si="0"/>
        <v>0</v>
      </c>
      <c r="Z62">
        <f t="shared" si="1"/>
        <v>1000</v>
      </c>
      <c r="AA62">
        <f t="shared" si="2"/>
        <v>10000</v>
      </c>
      <c r="AB62">
        <f t="shared" si="3"/>
        <v>500</v>
      </c>
      <c r="AC62">
        <f t="shared" si="4"/>
        <v>0</v>
      </c>
      <c r="AD62">
        <f t="shared" si="5"/>
        <v>12000</v>
      </c>
      <c r="AE62">
        <f t="shared" si="6"/>
        <v>0</v>
      </c>
      <c r="AF62">
        <f t="shared" si="7"/>
        <v>0</v>
      </c>
      <c r="AG62">
        <f t="shared" si="8"/>
        <v>2000</v>
      </c>
      <c r="AH62">
        <f t="shared" si="9"/>
        <v>0</v>
      </c>
    </row>
    <row r="63" spans="1:34" ht="15.5" x14ac:dyDescent="0.35">
      <c r="A63" s="45" t="s">
        <v>20</v>
      </c>
      <c r="B63" s="45">
        <v>2022</v>
      </c>
      <c r="C63" s="45" t="s">
        <v>65</v>
      </c>
      <c r="D63" s="45" t="s">
        <v>142</v>
      </c>
      <c r="E63" s="55"/>
      <c r="F63" s="55"/>
      <c r="G63" s="55">
        <v>700</v>
      </c>
      <c r="H63" s="55"/>
      <c r="I63" s="55"/>
      <c r="J63" s="59"/>
      <c r="K63" s="55">
        <v>1000</v>
      </c>
      <c r="L63" s="55"/>
      <c r="M63" s="55"/>
      <c r="N63" s="55"/>
      <c r="O63" s="55"/>
      <c r="P63" s="55"/>
      <c r="Q63" s="55"/>
      <c r="R63" s="55"/>
      <c r="S63" s="55"/>
      <c r="T63" s="55"/>
      <c r="U63" s="55">
        <v>1500</v>
      </c>
      <c r="V63" s="55"/>
      <c r="W63" s="55"/>
      <c r="X63" s="55"/>
      <c r="Y63" s="55">
        <f t="shared" si="0"/>
        <v>0</v>
      </c>
      <c r="Z63">
        <f t="shared" si="1"/>
        <v>700</v>
      </c>
      <c r="AA63">
        <f t="shared" si="2"/>
        <v>0</v>
      </c>
      <c r="AB63">
        <f t="shared" si="3"/>
        <v>1000</v>
      </c>
      <c r="AC63">
        <f t="shared" si="4"/>
        <v>0</v>
      </c>
      <c r="AD63">
        <f t="shared" si="5"/>
        <v>0</v>
      </c>
      <c r="AE63">
        <f t="shared" si="6"/>
        <v>0</v>
      </c>
      <c r="AF63">
        <f t="shared" si="7"/>
        <v>0</v>
      </c>
      <c r="AG63">
        <f t="shared" si="8"/>
        <v>1500</v>
      </c>
      <c r="AH63">
        <f t="shared" si="9"/>
        <v>0</v>
      </c>
    </row>
    <row r="64" spans="1:34" ht="15.5" x14ac:dyDescent="0.35">
      <c r="A64" s="45" t="s">
        <v>20</v>
      </c>
      <c r="B64" s="45">
        <v>2022</v>
      </c>
      <c r="C64" s="45" t="s">
        <v>43</v>
      </c>
      <c r="D64" s="45" t="s">
        <v>44</v>
      </c>
      <c r="E64" s="55"/>
      <c r="F64" s="55"/>
      <c r="G64" s="55"/>
      <c r="H64" s="55"/>
      <c r="I64" s="55"/>
      <c r="J64" s="55">
        <v>50</v>
      </c>
      <c r="K64" s="55"/>
      <c r="L64" s="55"/>
      <c r="M64" s="55"/>
      <c r="N64" s="55"/>
      <c r="O64" s="55"/>
      <c r="P64" s="56"/>
      <c r="Q64" s="55"/>
      <c r="R64" s="55"/>
      <c r="S64" s="55"/>
      <c r="T64" s="55">
        <v>300</v>
      </c>
      <c r="U64" s="55"/>
      <c r="V64" s="55"/>
      <c r="W64" s="55"/>
      <c r="X64" s="55">
        <v>2500</v>
      </c>
      <c r="Y64" s="55">
        <f t="shared" si="0"/>
        <v>0</v>
      </c>
      <c r="Z64">
        <f t="shared" si="1"/>
        <v>0</v>
      </c>
      <c r="AA64">
        <f t="shared" si="2"/>
        <v>50</v>
      </c>
      <c r="AB64">
        <f t="shared" si="3"/>
        <v>0</v>
      </c>
      <c r="AC64">
        <f t="shared" si="4"/>
        <v>0</v>
      </c>
      <c r="AD64">
        <f t="shared" si="5"/>
        <v>0</v>
      </c>
      <c r="AE64">
        <f t="shared" si="6"/>
        <v>0</v>
      </c>
      <c r="AF64">
        <f t="shared" si="7"/>
        <v>300</v>
      </c>
      <c r="AG64">
        <f t="shared" si="8"/>
        <v>0</v>
      </c>
      <c r="AH64">
        <f t="shared" si="9"/>
        <v>2500</v>
      </c>
    </row>
    <row r="65" spans="1:34" ht="15.5" x14ac:dyDescent="0.35">
      <c r="A65" s="45" t="s">
        <v>20</v>
      </c>
      <c r="B65" s="45">
        <v>2022</v>
      </c>
      <c r="C65" s="45" t="s">
        <v>43</v>
      </c>
      <c r="D65" s="45" t="s">
        <v>45</v>
      </c>
      <c r="E65" s="55"/>
      <c r="F65" s="55"/>
      <c r="G65" s="55"/>
      <c r="H65" s="55"/>
      <c r="I65" s="55"/>
      <c r="J65" s="55"/>
      <c r="K65" s="56"/>
      <c r="L65" s="55"/>
      <c r="M65" s="55"/>
      <c r="N65" s="55"/>
      <c r="O65" s="55"/>
      <c r="P65" s="55"/>
      <c r="Q65" s="55"/>
      <c r="R65" s="55"/>
      <c r="S65" s="55">
        <v>2500</v>
      </c>
      <c r="T65" s="55"/>
      <c r="U65" s="55"/>
      <c r="V65" s="55"/>
      <c r="W65" s="55">
        <v>500</v>
      </c>
      <c r="X65" s="55"/>
      <c r="Y65" s="55">
        <f t="shared" si="0"/>
        <v>0</v>
      </c>
      <c r="Z65">
        <f t="shared" si="1"/>
        <v>0</v>
      </c>
      <c r="AA65">
        <f t="shared" si="2"/>
        <v>0</v>
      </c>
      <c r="AB65">
        <f t="shared" si="3"/>
        <v>0</v>
      </c>
      <c r="AC65">
        <f t="shared" si="4"/>
        <v>0</v>
      </c>
      <c r="AD65">
        <f t="shared" si="5"/>
        <v>0</v>
      </c>
      <c r="AE65">
        <f t="shared" si="6"/>
        <v>0</v>
      </c>
      <c r="AF65">
        <f t="shared" si="7"/>
        <v>2500</v>
      </c>
      <c r="AG65">
        <f t="shared" si="8"/>
        <v>0</v>
      </c>
      <c r="AH65">
        <f t="shared" si="9"/>
        <v>500</v>
      </c>
    </row>
    <row r="66" spans="1:34" ht="15.5" x14ac:dyDescent="0.35">
      <c r="A66" s="45" t="s">
        <v>20</v>
      </c>
      <c r="B66" s="45">
        <v>2022</v>
      </c>
      <c r="C66" s="45" t="s">
        <v>65</v>
      </c>
      <c r="D66" s="45" t="s">
        <v>44</v>
      </c>
      <c r="E66" s="55"/>
      <c r="F66" s="55"/>
      <c r="G66" s="55"/>
      <c r="H66" s="60"/>
      <c r="I66" s="55"/>
      <c r="J66" s="55"/>
      <c r="K66" s="55"/>
      <c r="L66" s="55"/>
      <c r="M66" s="55"/>
      <c r="N66" s="55"/>
      <c r="O66" s="55">
        <v>300</v>
      </c>
      <c r="P66" s="58"/>
      <c r="Q66" s="55"/>
      <c r="R66" s="55">
        <v>500</v>
      </c>
      <c r="S66" s="55"/>
      <c r="T66" s="55"/>
      <c r="U66" s="55"/>
      <c r="V66" s="55"/>
      <c r="W66" s="55"/>
      <c r="X66" s="55"/>
      <c r="Y66" s="55">
        <f t="shared" si="0"/>
        <v>0</v>
      </c>
      <c r="Z66">
        <f t="shared" si="1"/>
        <v>0</v>
      </c>
      <c r="AA66">
        <f t="shared" si="2"/>
        <v>0</v>
      </c>
      <c r="AB66">
        <f t="shared" si="3"/>
        <v>0</v>
      </c>
      <c r="AC66">
        <f t="shared" si="4"/>
        <v>0</v>
      </c>
      <c r="AD66">
        <f t="shared" si="5"/>
        <v>300</v>
      </c>
      <c r="AE66">
        <f t="shared" si="6"/>
        <v>500</v>
      </c>
      <c r="AF66">
        <f t="shared" si="7"/>
        <v>0</v>
      </c>
      <c r="AG66">
        <f t="shared" si="8"/>
        <v>0</v>
      </c>
      <c r="AH66">
        <f t="shared" si="9"/>
        <v>0</v>
      </c>
    </row>
    <row r="67" spans="1:34" ht="15.5" x14ac:dyDescent="0.35">
      <c r="A67" s="45" t="s">
        <v>21</v>
      </c>
      <c r="B67" s="45">
        <v>2016</v>
      </c>
      <c r="C67" s="45" t="s">
        <v>65</v>
      </c>
      <c r="D67" s="45" t="s">
        <v>45</v>
      </c>
      <c r="E67" s="55"/>
      <c r="F67" s="55"/>
      <c r="G67" s="55"/>
      <c r="H67" s="55"/>
      <c r="I67" s="55"/>
      <c r="J67" s="55"/>
      <c r="K67" s="57"/>
      <c r="L67" s="55"/>
      <c r="M67" s="55"/>
      <c r="N67" s="55">
        <v>2500</v>
      </c>
      <c r="O67" s="55"/>
      <c r="P67" s="55">
        <v>200</v>
      </c>
      <c r="Q67" s="55">
        <v>1000</v>
      </c>
      <c r="R67" s="55"/>
      <c r="S67" s="55"/>
      <c r="T67" s="55"/>
      <c r="U67" s="55"/>
      <c r="V67" s="55"/>
      <c r="W67" s="55"/>
      <c r="X67" s="55"/>
      <c r="Y67" s="55">
        <f t="shared" si="0"/>
        <v>0</v>
      </c>
      <c r="Z67">
        <f t="shared" si="1"/>
        <v>0</v>
      </c>
      <c r="AA67">
        <f t="shared" si="2"/>
        <v>0</v>
      </c>
      <c r="AB67">
        <f t="shared" si="3"/>
        <v>0</v>
      </c>
      <c r="AC67">
        <f t="shared" si="4"/>
        <v>2500</v>
      </c>
      <c r="AD67">
        <f t="shared" si="5"/>
        <v>200</v>
      </c>
      <c r="AE67">
        <f t="shared" si="6"/>
        <v>1000</v>
      </c>
      <c r="AF67">
        <f t="shared" si="7"/>
        <v>0</v>
      </c>
      <c r="AG67">
        <f t="shared" si="8"/>
        <v>0</v>
      </c>
      <c r="AH67">
        <f t="shared" si="9"/>
        <v>0</v>
      </c>
    </row>
    <row r="68" spans="1:34" x14ac:dyDescent="0.35">
      <c r="A68" s="45" t="s">
        <v>21</v>
      </c>
      <c r="B68" s="45">
        <v>2016</v>
      </c>
      <c r="C68" s="45" t="s">
        <v>43</v>
      </c>
      <c r="D68" s="45" t="s">
        <v>44</v>
      </c>
      <c r="E68" s="55"/>
      <c r="F68" s="55"/>
      <c r="G68" s="55"/>
      <c r="H68" s="55"/>
      <c r="I68" s="55"/>
      <c r="J68" s="55">
        <v>10000</v>
      </c>
      <c r="K68" s="55"/>
      <c r="L68" s="55"/>
      <c r="M68" s="55">
        <v>500</v>
      </c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>
        <f t="shared" si="0"/>
        <v>0</v>
      </c>
      <c r="Z68">
        <f t="shared" si="1"/>
        <v>0</v>
      </c>
      <c r="AA68">
        <f t="shared" si="2"/>
        <v>10000</v>
      </c>
      <c r="AB68">
        <f t="shared" si="3"/>
        <v>0</v>
      </c>
      <c r="AC68">
        <f t="shared" si="4"/>
        <v>500</v>
      </c>
      <c r="AD68">
        <f t="shared" si="5"/>
        <v>0</v>
      </c>
      <c r="AE68">
        <f t="shared" si="6"/>
        <v>0</v>
      </c>
      <c r="AF68">
        <f t="shared" si="7"/>
        <v>0</v>
      </c>
      <c r="AG68">
        <f t="shared" si="8"/>
        <v>0</v>
      </c>
      <c r="AH68">
        <f t="shared" si="9"/>
        <v>0</v>
      </c>
    </row>
    <row r="69" spans="1:34" ht="15.5" x14ac:dyDescent="0.35">
      <c r="A69" s="45" t="s">
        <v>21</v>
      </c>
      <c r="B69" s="45">
        <v>2916</v>
      </c>
      <c r="C69" s="45" t="s">
        <v>43</v>
      </c>
      <c r="D69" s="45" t="s">
        <v>45</v>
      </c>
      <c r="E69" s="55"/>
      <c r="F69" s="55"/>
      <c r="G69" s="55">
        <v>2500</v>
      </c>
      <c r="H69" s="55"/>
      <c r="I69" s="55"/>
      <c r="J69" s="55"/>
      <c r="K69" s="59"/>
      <c r="L69" s="55">
        <v>1000</v>
      </c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>
        <f t="shared" ref="Y69:Y132" si="10">SUM(E69:F69)</f>
        <v>0</v>
      </c>
      <c r="Z69">
        <f t="shared" ref="Z69:Z132" si="11">SUM(G69:H69)</f>
        <v>2500</v>
      </c>
      <c r="AA69">
        <f t="shared" ref="AA69:AA132" si="12">SUM(I69:J69)</f>
        <v>0</v>
      </c>
      <c r="AB69">
        <f t="shared" ref="AB69:AB132" si="13">SUM(K69:L69)</f>
        <v>1000</v>
      </c>
      <c r="AC69">
        <f t="shared" ref="AC69:AC132" si="14">SUM(M69:N69)</f>
        <v>0</v>
      </c>
      <c r="AD69">
        <f t="shared" ref="AD69:AD132" si="15">SUM(O69:P69)</f>
        <v>0</v>
      </c>
      <c r="AE69">
        <f t="shared" ref="AE69:AE132" si="16">SUM(Q69:R69)</f>
        <v>0</v>
      </c>
      <c r="AF69">
        <f t="shared" ref="AF69:AF132" si="17">SUM(S69:T69)</f>
        <v>0</v>
      </c>
      <c r="AG69">
        <f t="shared" ref="AG69:AG132" si="18">SUM(U69:V69)</f>
        <v>0</v>
      </c>
      <c r="AH69">
        <f t="shared" ref="AH69:AH132" si="19">SUM(W69:X69)</f>
        <v>0</v>
      </c>
    </row>
    <row r="70" spans="1:34" ht="15.5" x14ac:dyDescent="0.35">
      <c r="A70" s="45" t="s">
        <v>21</v>
      </c>
      <c r="B70" s="45">
        <v>2016</v>
      </c>
      <c r="C70" s="45" t="s">
        <v>65</v>
      </c>
      <c r="D70" s="45" t="s">
        <v>46</v>
      </c>
      <c r="E70" s="55"/>
      <c r="F70" s="55">
        <v>500</v>
      </c>
      <c r="G70" s="55"/>
      <c r="H70" s="55"/>
      <c r="I70" s="55"/>
      <c r="J70" s="55"/>
      <c r="K70" s="55">
        <v>50</v>
      </c>
      <c r="L70" s="55"/>
      <c r="M70" s="55"/>
      <c r="N70" s="55"/>
      <c r="O70" s="55"/>
      <c r="P70" s="55"/>
      <c r="Q70" s="55"/>
      <c r="R70" s="55"/>
      <c r="S70" s="55"/>
      <c r="T70" s="56"/>
      <c r="U70" s="55"/>
      <c r="V70" s="55"/>
      <c r="W70" s="55"/>
      <c r="X70" s="55"/>
      <c r="Y70" s="55">
        <f t="shared" si="10"/>
        <v>500</v>
      </c>
      <c r="Z70">
        <f t="shared" si="11"/>
        <v>0</v>
      </c>
      <c r="AA70">
        <f t="shared" si="12"/>
        <v>0</v>
      </c>
      <c r="AB70">
        <f t="shared" si="13"/>
        <v>50</v>
      </c>
      <c r="AC70">
        <f t="shared" si="14"/>
        <v>0</v>
      </c>
      <c r="AD70">
        <f t="shared" si="15"/>
        <v>0</v>
      </c>
      <c r="AE70">
        <f t="shared" si="16"/>
        <v>0</v>
      </c>
      <c r="AF70">
        <f t="shared" si="17"/>
        <v>0</v>
      </c>
      <c r="AG70">
        <f t="shared" si="18"/>
        <v>0</v>
      </c>
      <c r="AH70">
        <f t="shared" si="19"/>
        <v>0</v>
      </c>
    </row>
    <row r="71" spans="1:34" x14ac:dyDescent="0.35">
      <c r="A71" s="45" t="s">
        <v>21</v>
      </c>
      <c r="B71" s="45">
        <v>2017</v>
      </c>
      <c r="C71" s="45" t="s">
        <v>65</v>
      </c>
      <c r="D71" s="45" t="s">
        <v>46</v>
      </c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>
        <v>150</v>
      </c>
      <c r="U71" s="55"/>
      <c r="V71" s="55"/>
      <c r="W71" s="55"/>
      <c r="X71" s="55"/>
      <c r="Y71" s="55">
        <f t="shared" si="10"/>
        <v>0</v>
      </c>
      <c r="Z71">
        <f t="shared" si="11"/>
        <v>0</v>
      </c>
      <c r="AA71">
        <f t="shared" si="12"/>
        <v>0</v>
      </c>
      <c r="AB71">
        <f t="shared" si="13"/>
        <v>0</v>
      </c>
      <c r="AC71">
        <f t="shared" si="14"/>
        <v>0</v>
      </c>
      <c r="AD71">
        <f t="shared" si="15"/>
        <v>0</v>
      </c>
      <c r="AE71">
        <f t="shared" si="16"/>
        <v>0</v>
      </c>
      <c r="AF71">
        <f t="shared" si="17"/>
        <v>150</v>
      </c>
      <c r="AG71">
        <f t="shared" si="18"/>
        <v>0</v>
      </c>
      <c r="AH71">
        <f t="shared" si="19"/>
        <v>0</v>
      </c>
    </row>
    <row r="72" spans="1:34" ht="15.5" x14ac:dyDescent="0.35">
      <c r="A72" s="45" t="s">
        <v>21</v>
      </c>
      <c r="B72" s="45">
        <v>2017</v>
      </c>
      <c r="C72" s="45" t="s">
        <v>43</v>
      </c>
      <c r="D72" s="45" t="s">
        <v>139</v>
      </c>
      <c r="E72" s="55"/>
      <c r="F72" s="55"/>
      <c r="G72" s="55"/>
      <c r="H72" s="55"/>
      <c r="I72" s="55"/>
      <c r="J72" s="55"/>
      <c r="K72" s="59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>
        <v>340</v>
      </c>
      <c r="W72" s="55"/>
      <c r="X72" s="55"/>
      <c r="Y72" s="55">
        <f t="shared" si="10"/>
        <v>0</v>
      </c>
      <c r="Z72">
        <f t="shared" si="11"/>
        <v>0</v>
      </c>
      <c r="AA72">
        <f t="shared" si="12"/>
        <v>0</v>
      </c>
      <c r="AB72">
        <f t="shared" si="13"/>
        <v>0</v>
      </c>
      <c r="AC72">
        <f t="shared" si="14"/>
        <v>0</v>
      </c>
      <c r="AD72">
        <f t="shared" si="15"/>
        <v>0</v>
      </c>
      <c r="AE72">
        <f t="shared" si="16"/>
        <v>0</v>
      </c>
      <c r="AF72">
        <f t="shared" si="17"/>
        <v>0</v>
      </c>
      <c r="AG72">
        <f t="shared" si="18"/>
        <v>340</v>
      </c>
      <c r="AH72">
        <f t="shared" si="19"/>
        <v>0</v>
      </c>
    </row>
    <row r="73" spans="1:34" ht="15.5" x14ac:dyDescent="0.35">
      <c r="A73" s="45" t="s">
        <v>21</v>
      </c>
      <c r="B73" s="45">
        <v>2017</v>
      </c>
      <c r="C73" s="45" t="s">
        <v>43</v>
      </c>
      <c r="D73" s="45" t="s">
        <v>139</v>
      </c>
      <c r="E73" s="55"/>
      <c r="F73" s="55">
        <v>500</v>
      </c>
      <c r="G73" s="55"/>
      <c r="H73" s="55"/>
      <c r="I73" s="55"/>
      <c r="J73" s="55"/>
      <c r="K73" s="55"/>
      <c r="L73" s="55"/>
      <c r="M73" s="55"/>
      <c r="N73" s="55"/>
      <c r="O73" s="55">
        <v>300</v>
      </c>
      <c r="P73" s="55"/>
      <c r="Q73" s="55"/>
      <c r="R73" s="56"/>
      <c r="S73" s="55"/>
      <c r="T73" s="55"/>
      <c r="U73" s="55"/>
      <c r="V73" s="55"/>
      <c r="W73" s="55"/>
      <c r="X73" s="55"/>
      <c r="Y73" s="55">
        <f t="shared" si="10"/>
        <v>500</v>
      </c>
      <c r="Z73">
        <f t="shared" si="11"/>
        <v>0</v>
      </c>
      <c r="AA73">
        <f t="shared" si="12"/>
        <v>0</v>
      </c>
      <c r="AB73">
        <f t="shared" si="13"/>
        <v>0</v>
      </c>
      <c r="AC73">
        <f t="shared" si="14"/>
        <v>0</v>
      </c>
      <c r="AD73">
        <f t="shared" si="15"/>
        <v>300</v>
      </c>
      <c r="AE73">
        <f t="shared" si="16"/>
        <v>0</v>
      </c>
      <c r="AF73">
        <f t="shared" si="17"/>
        <v>0</v>
      </c>
      <c r="AG73">
        <f t="shared" si="18"/>
        <v>0</v>
      </c>
      <c r="AH73">
        <f t="shared" si="19"/>
        <v>0</v>
      </c>
    </row>
    <row r="74" spans="1:34" ht="15.5" x14ac:dyDescent="0.35">
      <c r="A74" s="45" t="s">
        <v>21</v>
      </c>
      <c r="B74" s="45">
        <v>2018</v>
      </c>
      <c r="C74" s="45" t="s">
        <v>65</v>
      </c>
      <c r="D74" s="45" t="s">
        <v>69</v>
      </c>
      <c r="E74" s="55"/>
      <c r="F74" s="55"/>
      <c r="G74" s="55"/>
      <c r="H74" s="55"/>
      <c r="I74" s="55"/>
      <c r="J74" s="59"/>
      <c r="K74" s="55"/>
      <c r="L74" s="55">
        <v>300</v>
      </c>
      <c r="M74" s="55"/>
      <c r="N74" s="55">
        <v>2000</v>
      </c>
      <c r="O74" s="55"/>
      <c r="P74" s="55"/>
      <c r="Q74" s="55"/>
      <c r="R74" s="55"/>
      <c r="S74" s="55"/>
      <c r="T74" s="55"/>
      <c r="U74" s="55"/>
      <c r="V74" s="55">
        <v>300</v>
      </c>
      <c r="W74" s="55"/>
      <c r="X74" s="55"/>
      <c r="Y74" s="55">
        <f t="shared" si="10"/>
        <v>0</v>
      </c>
      <c r="Z74">
        <f t="shared" si="11"/>
        <v>0</v>
      </c>
      <c r="AA74">
        <f t="shared" si="12"/>
        <v>0</v>
      </c>
      <c r="AB74">
        <f t="shared" si="13"/>
        <v>300</v>
      </c>
      <c r="AC74">
        <f t="shared" si="14"/>
        <v>2000</v>
      </c>
      <c r="AD74">
        <f t="shared" si="15"/>
        <v>0</v>
      </c>
      <c r="AE74">
        <f t="shared" si="16"/>
        <v>0</v>
      </c>
      <c r="AF74">
        <f t="shared" si="17"/>
        <v>0</v>
      </c>
      <c r="AG74">
        <f t="shared" si="18"/>
        <v>300</v>
      </c>
      <c r="AH74">
        <f t="shared" si="19"/>
        <v>0</v>
      </c>
    </row>
    <row r="75" spans="1:34" ht="15.5" x14ac:dyDescent="0.35">
      <c r="A75" s="45" t="s">
        <v>21</v>
      </c>
      <c r="B75" s="45">
        <v>2018</v>
      </c>
      <c r="C75" s="45" t="s">
        <v>65</v>
      </c>
      <c r="D75" s="45" t="s">
        <v>140</v>
      </c>
      <c r="E75" s="55">
        <v>500</v>
      </c>
      <c r="F75" s="55"/>
      <c r="G75" s="55"/>
      <c r="H75" s="55"/>
      <c r="I75" s="55"/>
      <c r="J75" s="55"/>
      <c r="K75" s="55">
        <v>2500</v>
      </c>
      <c r="L75" s="55"/>
      <c r="M75" s="55"/>
      <c r="N75" s="55"/>
      <c r="O75" s="55"/>
      <c r="P75" s="55"/>
      <c r="Q75" s="55"/>
      <c r="R75" s="57"/>
      <c r="S75" s="55"/>
      <c r="T75" s="55"/>
      <c r="U75" s="55">
        <v>2500</v>
      </c>
      <c r="V75" s="55"/>
      <c r="W75" s="55"/>
      <c r="X75" s="55"/>
      <c r="Y75" s="55">
        <f t="shared" si="10"/>
        <v>500</v>
      </c>
      <c r="Z75">
        <f t="shared" si="11"/>
        <v>0</v>
      </c>
      <c r="AA75">
        <f t="shared" si="12"/>
        <v>0</v>
      </c>
      <c r="AB75">
        <f t="shared" si="13"/>
        <v>2500</v>
      </c>
      <c r="AC75">
        <f t="shared" si="14"/>
        <v>0</v>
      </c>
      <c r="AD75">
        <f t="shared" si="15"/>
        <v>0</v>
      </c>
      <c r="AE75">
        <f t="shared" si="16"/>
        <v>0</v>
      </c>
      <c r="AF75">
        <f t="shared" si="17"/>
        <v>0</v>
      </c>
      <c r="AG75">
        <f t="shared" si="18"/>
        <v>2500</v>
      </c>
      <c r="AH75">
        <f t="shared" si="19"/>
        <v>0</v>
      </c>
    </row>
    <row r="76" spans="1:34" x14ac:dyDescent="0.35">
      <c r="A76" s="45" t="s">
        <v>21</v>
      </c>
      <c r="B76" s="45">
        <v>2018</v>
      </c>
      <c r="C76" s="45" t="s">
        <v>43</v>
      </c>
      <c r="D76" s="45" t="s">
        <v>141</v>
      </c>
      <c r="E76" s="55">
        <v>300</v>
      </c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>
        <v>1000</v>
      </c>
      <c r="Q76" s="55">
        <v>10000</v>
      </c>
      <c r="R76" s="55"/>
      <c r="S76" s="55"/>
      <c r="T76" s="55">
        <v>500</v>
      </c>
      <c r="U76" s="55"/>
      <c r="V76" s="55"/>
      <c r="W76" s="55"/>
      <c r="X76" s="55">
        <v>12000</v>
      </c>
      <c r="Y76" s="55">
        <f t="shared" si="10"/>
        <v>300</v>
      </c>
      <c r="Z76">
        <f t="shared" si="11"/>
        <v>0</v>
      </c>
      <c r="AA76">
        <f t="shared" si="12"/>
        <v>0</v>
      </c>
      <c r="AB76">
        <f t="shared" si="13"/>
        <v>0</v>
      </c>
      <c r="AC76">
        <f t="shared" si="14"/>
        <v>0</v>
      </c>
      <c r="AD76">
        <f t="shared" si="15"/>
        <v>1000</v>
      </c>
      <c r="AE76">
        <f t="shared" si="16"/>
        <v>10000</v>
      </c>
      <c r="AF76">
        <f t="shared" si="17"/>
        <v>500</v>
      </c>
      <c r="AG76">
        <f t="shared" si="18"/>
        <v>0</v>
      </c>
      <c r="AH76">
        <f t="shared" si="19"/>
        <v>12000</v>
      </c>
    </row>
    <row r="77" spans="1:34" ht="15.5" x14ac:dyDescent="0.35">
      <c r="A77" s="45" t="s">
        <v>21</v>
      </c>
      <c r="B77" s="45">
        <v>2018</v>
      </c>
      <c r="C77" s="45" t="s">
        <v>43</v>
      </c>
      <c r="D77" s="45" t="s">
        <v>69</v>
      </c>
      <c r="E77" s="55"/>
      <c r="F77" s="55"/>
      <c r="G77" s="55">
        <v>2000</v>
      </c>
      <c r="H77" s="55">
        <v>1500</v>
      </c>
      <c r="I77" s="55"/>
      <c r="J77" s="55">
        <v>300</v>
      </c>
      <c r="K77" s="55"/>
      <c r="L77" s="55"/>
      <c r="M77" s="55"/>
      <c r="N77" s="55"/>
      <c r="O77" s="55">
        <v>700</v>
      </c>
      <c r="P77" s="55"/>
      <c r="Q77" s="55"/>
      <c r="R77" s="59"/>
      <c r="S77" s="55">
        <v>1000</v>
      </c>
      <c r="T77" s="55"/>
      <c r="U77" s="55"/>
      <c r="V77" s="55"/>
      <c r="W77" s="55"/>
      <c r="X77" s="55"/>
      <c r="Y77" s="55">
        <f t="shared" si="10"/>
        <v>0</v>
      </c>
      <c r="Z77">
        <f t="shared" si="11"/>
        <v>3500</v>
      </c>
      <c r="AA77">
        <f t="shared" si="12"/>
        <v>300</v>
      </c>
      <c r="AB77">
        <f t="shared" si="13"/>
        <v>0</v>
      </c>
      <c r="AC77">
        <f t="shared" si="14"/>
        <v>0</v>
      </c>
      <c r="AD77">
        <f t="shared" si="15"/>
        <v>700</v>
      </c>
      <c r="AE77">
        <f t="shared" si="16"/>
        <v>0</v>
      </c>
      <c r="AF77">
        <f t="shared" si="17"/>
        <v>1000</v>
      </c>
      <c r="AG77">
        <f t="shared" si="18"/>
        <v>0</v>
      </c>
      <c r="AH77">
        <f t="shared" si="19"/>
        <v>0</v>
      </c>
    </row>
    <row r="78" spans="1:34" ht="15.5" x14ac:dyDescent="0.35">
      <c r="A78" s="45" t="s">
        <v>21</v>
      </c>
      <c r="B78" s="45">
        <v>2018</v>
      </c>
      <c r="C78" s="45" t="s">
        <v>65</v>
      </c>
      <c r="D78" s="45" t="s">
        <v>142</v>
      </c>
      <c r="E78" s="55"/>
      <c r="F78" s="55"/>
      <c r="G78" s="55"/>
      <c r="H78" s="55"/>
      <c r="I78" s="55"/>
      <c r="J78" s="56">
        <v>3000</v>
      </c>
      <c r="K78" s="55"/>
      <c r="L78" s="55"/>
      <c r="M78" s="55">
        <v>1000</v>
      </c>
      <c r="N78" s="55"/>
      <c r="O78" s="55"/>
      <c r="P78" s="55"/>
      <c r="Q78" s="55"/>
      <c r="R78" s="55">
        <v>50</v>
      </c>
      <c r="S78" s="55"/>
      <c r="T78" s="55"/>
      <c r="U78" s="55"/>
      <c r="V78" s="55"/>
      <c r="W78" s="55"/>
      <c r="X78" s="55"/>
      <c r="Y78" s="55">
        <f t="shared" si="10"/>
        <v>0</v>
      </c>
      <c r="Z78">
        <f t="shared" si="11"/>
        <v>0</v>
      </c>
      <c r="AA78">
        <f t="shared" si="12"/>
        <v>3000</v>
      </c>
      <c r="AB78">
        <f t="shared" si="13"/>
        <v>0</v>
      </c>
      <c r="AC78">
        <f t="shared" si="14"/>
        <v>1000</v>
      </c>
      <c r="AD78">
        <f t="shared" si="15"/>
        <v>0</v>
      </c>
      <c r="AE78">
        <f t="shared" si="16"/>
        <v>50</v>
      </c>
      <c r="AF78">
        <f t="shared" si="17"/>
        <v>0</v>
      </c>
      <c r="AG78">
        <f t="shared" si="18"/>
        <v>0</v>
      </c>
      <c r="AH78">
        <f t="shared" si="19"/>
        <v>0</v>
      </c>
    </row>
    <row r="79" spans="1:34" ht="15.5" x14ac:dyDescent="0.35">
      <c r="A79" s="45" t="s">
        <v>21</v>
      </c>
      <c r="B79" s="45">
        <v>2019</v>
      </c>
      <c r="C79" s="45" t="s">
        <v>65</v>
      </c>
      <c r="D79" s="45" t="s">
        <v>44</v>
      </c>
      <c r="E79" s="55"/>
      <c r="F79" s="55"/>
      <c r="G79" s="55"/>
      <c r="H79" s="55"/>
      <c r="I79" s="55"/>
      <c r="J79" s="55">
        <v>2000</v>
      </c>
      <c r="K79" s="55"/>
      <c r="L79" s="55"/>
      <c r="M79" s="55"/>
      <c r="N79" s="55"/>
      <c r="O79" s="55"/>
      <c r="P79" s="55"/>
      <c r="Q79" s="55"/>
      <c r="R79" s="55"/>
      <c r="S79" s="56"/>
      <c r="T79" s="55"/>
      <c r="U79" s="55"/>
      <c r="V79" s="55"/>
      <c r="W79" s="55"/>
      <c r="X79" s="55"/>
      <c r="Y79" s="55">
        <f t="shared" si="10"/>
        <v>0</v>
      </c>
      <c r="Z79">
        <f t="shared" si="11"/>
        <v>0</v>
      </c>
      <c r="AA79">
        <f t="shared" si="12"/>
        <v>2000</v>
      </c>
      <c r="AB79">
        <f t="shared" si="13"/>
        <v>0</v>
      </c>
      <c r="AC79">
        <f t="shared" si="14"/>
        <v>0</v>
      </c>
      <c r="AD79">
        <f t="shared" si="15"/>
        <v>0</v>
      </c>
      <c r="AE79">
        <f t="shared" si="16"/>
        <v>0</v>
      </c>
      <c r="AF79">
        <f t="shared" si="17"/>
        <v>0</v>
      </c>
      <c r="AG79">
        <f t="shared" si="18"/>
        <v>0</v>
      </c>
      <c r="AH79">
        <f t="shared" si="19"/>
        <v>0</v>
      </c>
    </row>
    <row r="80" spans="1:34" ht="15.5" x14ac:dyDescent="0.35">
      <c r="A80" s="45" t="s">
        <v>21</v>
      </c>
      <c r="B80" s="45">
        <v>2019</v>
      </c>
      <c r="C80" s="45" t="s">
        <v>43</v>
      </c>
      <c r="D80" s="45" t="s">
        <v>45</v>
      </c>
      <c r="E80" s="55"/>
      <c r="F80" s="55"/>
      <c r="G80" s="55"/>
      <c r="H80" s="55"/>
      <c r="I80" s="55">
        <v>1500</v>
      </c>
      <c r="J80" s="55"/>
      <c r="K80" s="55"/>
      <c r="L80" s="55"/>
      <c r="M80" s="55"/>
      <c r="N80" s="55"/>
      <c r="O80" s="55"/>
      <c r="P80" s="60"/>
      <c r="Q80" s="55"/>
      <c r="R80" s="55"/>
      <c r="S80" s="55"/>
      <c r="T80" s="55"/>
      <c r="U80" s="55"/>
      <c r="V80" s="55"/>
      <c r="W80" s="55">
        <v>300</v>
      </c>
      <c r="X80" s="55"/>
      <c r="Y80" s="55">
        <f t="shared" si="10"/>
        <v>0</v>
      </c>
      <c r="Z80">
        <f t="shared" si="11"/>
        <v>0</v>
      </c>
      <c r="AA80">
        <f t="shared" si="12"/>
        <v>1500</v>
      </c>
      <c r="AB80">
        <f t="shared" si="13"/>
        <v>0</v>
      </c>
      <c r="AC80">
        <f t="shared" si="14"/>
        <v>0</v>
      </c>
      <c r="AD80">
        <f t="shared" si="15"/>
        <v>0</v>
      </c>
      <c r="AE80">
        <f t="shared" si="16"/>
        <v>0</v>
      </c>
      <c r="AF80">
        <f t="shared" si="17"/>
        <v>0</v>
      </c>
      <c r="AG80">
        <f t="shared" si="18"/>
        <v>0</v>
      </c>
      <c r="AH80">
        <f t="shared" si="19"/>
        <v>300</v>
      </c>
    </row>
    <row r="81" spans="1:34" ht="15.5" x14ac:dyDescent="0.35">
      <c r="A81" s="45" t="s">
        <v>21</v>
      </c>
      <c r="B81" s="45">
        <v>2019</v>
      </c>
      <c r="C81" s="45" t="s">
        <v>43</v>
      </c>
      <c r="D81" s="45" t="s">
        <v>44</v>
      </c>
      <c r="E81" s="55"/>
      <c r="F81" s="55"/>
      <c r="G81" s="55"/>
      <c r="H81" s="55">
        <v>300</v>
      </c>
      <c r="I81" s="55"/>
      <c r="J81" s="55"/>
      <c r="K81" s="55"/>
      <c r="L81" s="55">
        <v>2500</v>
      </c>
      <c r="M81" s="55"/>
      <c r="N81" s="55"/>
      <c r="O81" s="55"/>
      <c r="P81" s="55"/>
      <c r="Q81" s="55"/>
      <c r="R81" s="55"/>
      <c r="S81" s="57"/>
      <c r="T81" s="55"/>
      <c r="U81" s="55"/>
      <c r="V81" s="55">
        <v>2500</v>
      </c>
      <c r="W81" s="55"/>
      <c r="X81" s="55"/>
      <c r="Y81" s="55">
        <f t="shared" si="10"/>
        <v>0</v>
      </c>
      <c r="Z81">
        <f t="shared" si="11"/>
        <v>300</v>
      </c>
      <c r="AA81">
        <f t="shared" si="12"/>
        <v>0</v>
      </c>
      <c r="AB81">
        <f t="shared" si="13"/>
        <v>2500</v>
      </c>
      <c r="AC81">
        <f t="shared" si="14"/>
        <v>0</v>
      </c>
      <c r="AD81">
        <f t="shared" si="15"/>
        <v>0</v>
      </c>
      <c r="AE81">
        <f t="shared" si="16"/>
        <v>0</v>
      </c>
      <c r="AF81">
        <f t="shared" si="17"/>
        <v>0</v>
      </c>
      <c r="AG81">
        <f t="shared" si="18"/>
        <v>2500</v>
      </c>
      <c r="AH81">
        <f t="shared" si="19"/>
        <v>0</v>
      </c>
    </row>
    <row r="82" spans="1:34" x14ac:dyDescent="0.35">
      <c r="A82" s="45" t="s">
        <v>21</v>
      </c>
      <c r="B82" s="45">
        <v>2019</v>
      </c>
      <c r="C82" s="45" t="s">
        <v>65</v>
      </c>
      <c r="D82" s="45" t="s">
        <v>45</v>
      </c>
      <c r="E82" s="55"/>
      <c r="F82" s="55"/>
      <c r="G82" s="55">
        <v>2500</v>
      </c>
      <c r="H82" s="55"/>
      <c r="I82" s="55"/>
      <c r="J82" s="55"/>
      <c r="K82" s="55">
        <v>500</v>
      </c>
      <c r="L82" s="55"/>
      <c r="M82" s="55"/>
      <c r="N82" s="55"/>
      <c r="O82" s="55"/>
      <c r="P82" s="55"/>
      <c r="Q82" s="55"/>
      <c r="R82" s="55">
        <v>10000</v>
      </c>
      <c r="S82" s="55"/>
      <c r="T82" s="55"/>
      <c r="U82" s="55">
        <v>500</v>
      </c>
      <c r="V82" s="55"/>
      <c r="W82" s="55"/>
      <c r="X82" s="55"/>
      <c r="Y82" s="55">
        <f t="shared" si="10"/>
        <v>0</v>
      </c>
      <c r="Z82">
        <f t="shared" si="11"/>
        <v>2500</v>
      </c>
      <c r="AA82">
        <f t="shared" si="12"/>
        <v>0</v>
      </c>
      <c r="AB82">
        <f t="shared" si="13"/>
        <v>500</v>
      </c>
      <c r="AC82">
        <f t="shared" si="14"/>
        <v>0</v>
      </c>
      <c r="AD82">
        <f t="shared" si="15"/>
        <v>0</v>
      </c>
      <c r="AE82">
        <f t="shared" si="16"/>
        <v>10000</v>
      </c>
      <c r="AF82">
        <f t="shared" si="17"/>
        <v>0</v>
      </c>
      <c r="AG82">
        <f t="shared" si="18"/>
        <v>500</v>
      </c>
      <c r="AH82">
        <f t="shared" si="19"/>
        <v>0</v>
      </c>
    </row>
    <row r="83" spans="1:34" ht="15.5" x14ac:dyDescent="0.35">
      <c r="A83" s="45" t="s">
        <v>21</v>
      </c>
      <c r="B83" s="45">
        <v>2019</v>
      </c>
      <c r="C83" s="45" t="s">
        <v>65</v>
      </c>
      <c r="D83" s="45" t="s">
        <v>44</v>
      </c>
      <c r="E83" s="55"/>
      <c r="F83" s="55">
        <v>500</v>
      </c>
      <c r="G83" s="55"/>
      <c r="H83" s="55"/>
      <c r="I83" s="55"/>
      <c r="J83" s="55"/>
      <c r="K83" s="55"/>
      <c r="L83" s="55"/>
      <c r="M83" s="55"/>
      <c r="N83" s="55"/>
      <c r="O83" s="55">
        <v>2500</v>
      </c>
      <c r="P83" s="55"/>
      <c r="Q83" s="55"/>
      <c r="R83" s="55"/>
      <c r="S83" s="59"/>
      <c r="T83" s="55">
        <v>1000</v>
      </c>
      <c r="U83" s="55"/>
      <c r="V83" s="55"/>
      <c r="W83" s="55"/>
      <c r="X83" s="55"/>
      <c r="Y83" s="55">
        <f t="shared" si="10"/>
        <v>500</v>
      </c>
      <c r="Z83">
        <f t="shared" si="11"/>
        <v>0</v>
      </c>
      <c r="AA83">
        <f t="shared" si="12"/>
        <v>0</v>
      </c>
      <c r="AB83">
        <f t="shared" si="13"/>
        <v>0</v>
      </c>
      <c r="AC83">
        <f t="shared" si="14"/>
        <v>0</v>
      </c>
      <c r="AD83">
        <f t="shared" si="15"/>
        <v>2500</v>
      </c>
      <c r="AE83">
        <f t="shared" si="16"/>
        <v>0</v>
      </c>
      <c r="AF83">
        <f t="shared" si="17"/>
        <v>1000</v>
      </c>
      <c r="AG83">
        <f t="shared" si="18"/>
        <v>0</v>
      </c>
      <c r="AH83">
        <f t="shared" si="19"/>
        <v>0</v>
      </c>
    </row>
    <row r="84" spans="1:34" ht="15.5" x14ac:dyDescent="0.35">
      <c r="A84" s="45" t="s">
        <v>21</v>
      </c>
      <c r="B84" s="45">
        <v>2019</v>
      </c>
      <c r="C84" s="45" t="s">
        <v>43</v>
      </c>
      <c r="D84" s="45" t="s">
        <v>45</v>
      </c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6"/>
      <c r="U84" s="55"/>
      <c r="V84" s="55">
        <v>12000</v>
      </c>
      <c r="W84" s="55">
        <v>2500</v>
      </c>
      <c r="X84" s="55"/>
      <c r="Y84" s="55">
        <f t="shared" si="10"/>
        <v>0</v>
      </c>
      <c r="Z84">
        <f t="shared" si="11"/>
        <v>0</v>
      </c>
      <c r="AA84">
        <f t="shared" si="12"/>
        <v>0</v>
      </c>
      <c r="AB84">
        <f t="shared" si="13"/>
        <v>0</v>
      </c>
      <c r="AC84">
        <f t="shared" si="14"/>
        <v>0</v>
      </c>
      <c r="AD84">
        <f t="shared" si="15"/>
        <v>0</v>
      </c>
      <c r="AE84">
        <f t="shared" si="16"/>
        <v>0</v>
      </c>
      <c r="AF84">
        <f t="shared" si="17"/>
        <v>0</v>
      </c>
      <c r="AG84">
        <f t="shared" si="18"/>
        <v>12000</v>
      </c>
      <c r="AH84">
        <f t="shared" si="19"/>
        <v>2500</v>
      </c>
    </row>
    <row r="85" spans="1:34" x14ac:dyDescent="0.35">
      <c r="A85" s="45" t="s">
        <v>21</v>
      </c>
      <c r="B85" s="45">
        <v>2019</v>
      </c>
      <c r="C85" s="45" t="s">
        <v>43</v>
      </c>
      <c r="D85" s="45" t="s">
        <v>46</v>
      </c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>
        <f t="shared" si="10"/>
        <v>0</v>
      </c>
      <c r="Z85">
        <f t="shared" si="11"/>
        <v>0</v>
      </c>
      <c r="AA85">
        <f t="shared" si="12"/>
        <v>0</v>
      </c>
      <c r="AB85">
        <f t="shared" si="13"/>
        <v>0</v>
      </c>
      <c r="AC85">
        <f t="shared" si="14"/>
        <v>0</v>
      </c>
      <c r="AD85">
        <f t="shared" si="15"/>
        <v>0</v>
      </c>
      <c r="AE85">
        <f t="shared" si="16"/>
        <v>0</v>
      </c>
      <c r="AF85">
        <f t="shared" si="17"/>
        <v>0</v>
      </c>
      <c r="AG85">
        <f t="shared" si="18"/>
        <v>0</v>
      </c>
      <c r="AH85">
        <f t="shared" si="19"/>
        <v>0</v>
      </c>
    </row>
    <row r="86" spans="1:34" ht="15.5" x14ac:dyDescent="0.35">
      <c r="A86" s="45" t="s">
        <v>21</v>
      </c>
      <c r="B86" s="45">
        <v>2019</v>
      </c>
      <c r="C86" s="45" t="s">
        <v>65</v>
      </c>
      <c r="D86" s="45" t="s">
        <v>46</v>
      </c>
      <c r="E86" s="55"/>
      <c r="F86" s="55"/>
      <c r="G86" s="55"/>
      <c r="H86" s="55"/>
      <c r="I86" s="55"/>
      <c r="J86" s="56">
        <v>8175</v>
      </c>
      <c r="K86" s="55"/>
      <c r="L86" s="55"/>
      <c r="M86" s="55"/>
      <c r="N86" s="55"/>
      <c r="O86" s="55"/>
      <c r="P86" s="55"/>
      <c r="Q86" s="55"/>
      <c r="R86" s="55"/>
      <c r="S86" s="55"/>
      <c r="T86" s="56"/>
      <c r="U86" s="55"/>
      <c r="V86" s="55"/>
      <c r="W86" s="55"/>
      <c r="X86" s="55"/>
      <c r="Y86" s="55">
        <f t="shared" si="10"/>
        <v>0</v>
      </c>
      <c r="Z86">
        <f t="shared" si="11"/>
        <v>0</v>
      </c>
      <c r="AA86">
        <f t="shared" si="12"/>
        <v>8175</v>
      </c>
      <c r="AB86">
        <f t="shared" si="13"/>
        <v>0</v>
      </c>
      <c r="AC86">
        <f t="shared" si="14"/>
        <v>0</v>
      </c>
      <c r="AD86">
        <f t="shared" si="15"/>
        <v>0</v>
      </c>
      <c r="AE86">
        <f t="shared" si="16"/>
        <v>0</v>
      </c>
      <c r="AF86">
        <f t="shared" si="17"/>
        <v>0</v>
      </c>
      <c r="AG86">
        <f t="shared" si="18"/>
        <v>0</v>
      </c>
      <c r="AH86">
        <f t="shared" si="19"/>
        <v>0</v>
      </c>
    </row>
    <row r="87" spans="1:34" x14ac:dyDescent="0.35">
      <c r="A87" s="45" t="s">
        <v>21</v>
      </c>
      <c r="B87" s="45">
        <v>2020</v>
      </c>
      <c r="C87" s="45" t="s">
        <v>65</v>
      </c>
      <c r="D87" s="45" t="s">
        <v>139</v>
      </c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>
        <v>2500</v>
      </c>
      <c r="Q87" s="55"/>
      <c r="R87" s="55"/>
      <c r="S87" s="55"/>
      <c r="T87" s="55"/>
      <c r="U87" s="55"/>
      <c r="V87" s="55"/>
      <c r="W87" s="55"/>
      <c r="X87" s="55"/>
      <c r="Y87" s="55">
        <f t="shared" si="10"/>
        <v>0</v>
      </c>
      <c r="Z87">
        <f t="shared" si="11"/>
        <v>0</v>
      </c>
      <c r="AA87">
        <f t="shared" si="12"/>
        <v>0</v>
      </c>
      <c r="AB87">
        <f t="shared" si="13"/>
        <v>0</v>
      </c>
      <c r="AC87">
        <f t="shared" si="14"/>
        <v>0</v>
      </c>
      <c r="AD87">
        <f t="shared" si="15"/>
        <v>2500</v>
      </c>
      <c r="AE87">
        <f t="shared" si="16"/>
        <v>0</v>
      </c>
      <c r="AF87">
        <f t="shared" si="17"/>
        <v>0</v>
      </c>
      <c r="AG87">
        <f t="shared" si="18"/>
        <v>0</v>
      </c>
      <c r="AH87">
        <f t="shared" si="19"/>
        <v>0</v>
      </c>
    </row>
    <row r="88" spans="1:34" x14ac:dyDescent="0.35">
      <c r="A88" s="45" t="s">
        <v>21</v>
      </c>
      <c r="B88" s="45">
        <v>2020</v>
      </c>
      <c r="C88" s="45" t="s">
        <v>43</v>
      </c>
      <c r="D88" s="45" t="s">
        <v>139</v>
      </c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>
        <v>300</v>
      </c>
      <c r="W88" s="55"/>
      <c r="X88" s="55"/>
      <c r="Y88" s="55">
        <f t="shared" si="10"/>
        <v>0</v>
      </c>
      <c r="Z88">
        <f t="shared" si="11"/>
        <v>0</v>
      </c>
      <c r="AA88">
        <f t="shared" si="12"/>
        <v>0</v>
      </c>
      <c r="AB88">
        <f t="shared" si="13"/>
        <v>0</v>
      </c>
      <c r="AC88">
        <f t="shared" si="14"/>
        <v>0</v>
      </c>
      <c r="AD88">
        <f t="shared" si="15"/>
        <v>0</v>
      </c>
      <c r="AE88">
        <f t="shared" si="16"/>
        <v>0</v>
      </c>
      <c r="AF88">
        <f t="shared" si="17"/>
        <v>0</v>
      </c>
      <c r="AG88">
        <f t="shared" si="18"/>
        <v>300</v>
      </c>
      <c r="AH88">
        <f t="shared" si="19"/>
        <v>0</v>
      </c>
    </row>
    <row r="89" spans="1:34" ht="15.5" x14ac:dyDescent="0.35">
      <c r="A89" s="45" t="s">
        <v>21</v>
      </c>
      <c r="B89" s="45">
        <v>2020</v>
      </c>
      <c r="C89" s="45" t="s">
        <v>43</v>
      </c>
      <c r="D89" s="45" t="s">
        <v>69</v>
      </c>
      <c r="E89" s="55"/>
      <c r="F89" s="55"/>
      <c r="G89" s="55"/>
      <c r="H89" s="55">
        <v>300</v>
      </c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6"/>
      <c r="U89" s="55"/>
      <c r="V89" s="55"/>
      <c r="W89" s="55"/>
      <c r="X89" s="55"/>
      <c r="Y89" s="55">
        <f t="shared" si="10"/>
        <v>0</v>
      </c>
      <c r="Z89">
        <f t="shared" si="11"/>
        <v>300</v>
      </c>
      <c r="AA89">
        <f t="shared" si="12"/>
        <v>0</v>
      </c>
      <c r="AB89">
        <f t="shared" si="13"/>
        <v>0</v>
      </c>
      <c r="AC89">
        <f t="shared" si="14"/>
        <v>0</v>
      </c>
      <c r="AD89">
        <f t="shared" si="15"/>
        <v>0</v>
      </c>
      <c r="AE89">
        <f t="shared" si="16"/>
        <v>0</v>
      </c>
      <c r="AF89">
        <f t="shared" si="17"/>
        <v>0</v>
      </c>
      <c r="AG89">
        <f t="shared" si="18"/>
        <v>0</v>
      </c>
      <c r="AH89">
        <f t="shared" si="19"/>
        <v>0</v>
      </c>
    </row>
    <row r="90" spans="1:34" ht="15.5" x14ac:dyDescent="0.35">
      <c r="A90" s="45" t="s">
        <v>21</v>
      </c>
      <c r="B90" s="45">
        <v>2020</v>
      </c>
      <c r="C90" s="45" t="s">
        <v>65</v>
      </c>
      <c r="D90" s="45" t="s">
        <v>140</v>
      </c>
      <c r="E90" s="55"/>
      <c r="F90" s="55"/>
      <c r="G90" s="55">
        <v>2500</v>
      </c>
      <c r="H90" s="55"/>
      <c r="I90" s="55"/>
      <c r="J90" s="55"/>
      <c r="K90" s="55"/>
      <c r="L90" s="55">
        <v>208</v>
      </c>
      <c r="M90" s="55"/>
      <c r="N90" s="55"/>
      <c r="O90" s="55"/>
      <c r="P90" s="55"/>
      <c r="Q90" s="55"/>
      <c r="R90" s="56"/>
      <c r="S90" s="55"/>
      <c r="T90" s="55"/>
      <c r="U90" s="55"/>
      <c r="V90" s="55"/>
      <c r="W90" s="55"/>
      <c r="X90" s="55"/>
      <c r="Y90" s="55">
        <f t="shared" si="10"/>
        <v>0</v>
      </c>
      <c r="Z90">
        <f t="shared" si="11"/>
        <v>2500</v>
      </c>
      <c r="AA90">
        <f t="shared" si="12"/>
        <v>0</v>
      </c>
      <c r="AB90">
        <f t="shared" si="13"/>
        <v>208</v>
      </c>
      <c r="AC90">
        <f t="shared" si="14"/>
        <v>0</v>
      </c>
      <c r="AD90">
        <f t="shared" si="15"/>
        <v>0</v>
      </c>
      <c r="AE90">
        <f t="shared" si="16"/>
        <v>0</v>
      </c>
      <c r="AF90">
        <f t="shared" si="17"/>
        <v>0</v>
      </c>
      <c r="AG90">
        <f t="shared" si="18"/>
        <v>0</v>
      </c>
      <c r="AH90">
        <f t="shared" si="19"/>
        <v>0</v>
      </c>
    </row>
    <row r="91" spans="1:34" ht="15.5" x14ac:dyDescent="0.35">
      <c r="A91" s="45" t="s">
        <v>21</v>
      </c>
      <c r="B91" s="45">
        <v>2020</v>
      </c>
      <c r="C91" s="45" t="s">
        <v>65</v>
      </c>
      <c r="D91" s="45" t="s">
        <v>141</v>
      </c>
      <c r="E91" s="55"/>
      <c r="F91" s="55">
        <v>500</v>
      </c>
      <c r="G91" s="55"/>
      <c r="H91" s="55"/>
      <c r="I91" s="55"/>
      <c r="J91" s="55"/>
      <c r="K91" s="55"/>
      <c r="L91" s="55"/>
      <c r="M91" s="55">
        <v>510</v>
      </c>
      <c r="N91" s="55"/>
      <c r="O91" s="55"/>
      <c r="P91" s="55"/>
      <c r="Q91" s="55"/>
      <c r="R91" s="56"/>
      <c r="S91" s="55"/>
      <c r="T91" s="55"/>
      <c r="U91" s="55"/>
      <c r="V91" s="55"/>
      <c r="W91" s="55"/>
      <c r="X91" s="55"/>
      <c r="Y91" s="55">
        <f t="shared" si="10"/>
        <v>500</v>
      </c>
      <c r="Z91">
        <f t="shared" si="11"/>
        <v>0</v>
      </c>
      <c r="AA91">
        <f t="shared" si="12"/>
        <v>0</v>
      </c>
      <c r="AB91">
        <f t="shared" si="13"/>
        <v>0</v>
      </c>
      <c r="AC91">
        <f t="shared" si="14"/>
        <v>510</v>
      </c>
      <c r="AD91">
        <f t="shared" si="15"/>
        <v>0</v>
      </c>
      <c r="AE91">
        <f t="shared" si="16"/>
        <v>0</v>
      </c>
      <c r="AF91">
        <f t="shared" si="17"/>
        <v>0</v>
      </c>
      <c r="AG91">
        <f t="shared" si="18"/>
        <v>0</v>
      </c>
      <c r="AH91">
        <f t="shared" si="19"/>
        <v>0</v>
      </c>
    </row>
    <row r="92" spans="1:34" ht="15.5" x14ac:dyDescent="0.35">
      <c r="A92" s="45" t="s">
        <v>21</v>
      </c>
      <c r="B92" s="45">
        <v>2020</v>
      </c>
      <c r="C92" s="45" t="s">
        <v>43</v>
      </c>
      <c r="D92" s="45" t="s">
        <v>69</v>
      </c>
      <c r="E92" s="55">
        <v>1000</v>
      </c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6"/>
      <c r="U92" s="55"/>
      <c r="V92" s="55"/>
      <c r="W92" s="55">
        <v>2000</v>
      </c>
      <c r="X92" s="55"/>
      <c r="Y92" s="55">
        <f t="shared" si="10"/>
        <v>1000</v>
      </c>
      <c r="Z92">
        <f t="shared" si="11"/>
        <v>0</v>
      </c>
      <c r="AA92">
        <f t="shared" si="12"/>
        <v>0</v>
      </c>
      <c r="AB92">
        <f t="shared" si="13"/>
        <v>0</v>
      </c>
      <c r="AC92">
        <f t="shared" si="14"/>
        <v>0</v>
      </c>
      <c r="AD92">
        <f t="shared" si="15"/>
        <v>0</v>
      </c>
      <c r="AE92">
        <f t="shared" si="16"/>
        <v>0</v>
      </c>
      <c r="AF92">
        <f t="shared" si="17"/>
        <v>0</v>
      </c>
      <c r="AG92">
        <f t="shared" si="18"/>
        <v>0</v>
      </c>
      <c r="AH92">
        <f t="shared" si="19"/>
        <v>2000</v>
      </c>
    </row>
    <row r="93" spans="1:34" ht="15.5" x14ac:dyDescent="0.35">
      <c r="A93" s="45" t="s">
        <v>21</v>
      </c>
      <c r="B93" s="45">
        <v>2020</v>
      </c>
      <c r="C93" s="45" t="s">
        <v>43</v>
      </c>
      <c r="D93" s="45" t="s">
        <v>142</v>
      </c>
      <c r="E93" s="55"/>
      <c r="F93" s="55"/>
      <c r="G93" s="55"/>
      <c r="H93" s="55"/>
      <c r="I93" s="55"/>
      <c r="J93" s="55">
        <v>500</v>
      </c>
      <c r="K93" s="55"/>
      <c r="L93" s="55"/>
      <c r="M93" s="55"/>
      <c r="N93" s="55"/>
      <c r="O93" s="55"/>
      <c r="P93" s="55"/>
      <c r="Q93" s="55"/>
      <c r="R93" s="56"/>
      <c r="S93" s="55"/>
      <c r="T93" s="55"/>
      <c r="U93" s="55"/>
      <c r="V93" s="55"/>
      <c r="W93" s="55"/>
      <c r="X93" s="55"/>
      <c r="Y93" s="55">
        <f t="shared" si="10"/>
        <v>0</v>
      </c>
      <c r="Z93">
        <f t="shared" si="11"/>
        <v>0</v>
      </c>
      <c r="AA93">
        <f t="shared" si="12"/>
        <v>500</v>
      </c>
      <c r="AB93">
        <f t="shared" si="13"/>
        <v>0</v>
      </c>
      <c r="AC93">
        <f t="shared" si="14"/>
        <v>0</v>
      </c>
      <c r="AD93">
        <f t="shared" si="15"/>
        <v>0</v>
      </c>
      <c r="AE93">
        <f t="shared" si="16"/>
        <v>0</v>
      </c>
      <c r="AF93">
        <f t="shared" si="17"/>
        <v>0</v>
      </c>
      <c r="AG93">
        <f t="shared" si="18"/>
        <v>0</v>
      </c>
      <c r="AH93">
        <f t="shared" si="19"/>
        <v>0</v>
      </c>
    </row>
    <row r="94" spans="1:34" x14ac:dyDescent="0.35">
      <c r="A94" s="45" t="s">
        <v>21</v>
      </c>
      <c r="B94" s="45">
        <v>2021</v>
      </c>
      <c r="C94" s="45" t="s">
        <v>65</v>
      </c>
      <c r="D94" s="45" t="s">
        <v>44</v>
      </c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>
        <f t="shared" si="10"/>
        <v>0</v>
      </c>
      <c r="Z94">
        <f t="shared" si="11"/>
        <v>0</v>
      </c>
      <c r="AA94">
        <f t="shared" si="12"/>
        <v>0</v>
      </c>
      <c r="AB94">
        <f t="shared" si="13"/>
        <v>0</v>
      </c>
      <c r="AC94">
        <f t="shared" si="14"/>
        <v>0</v>
      </c>
      <c r="AD94">
        <f t="shared" si="15"/>
        <v>0</v>
      </c>
      <c r="AE94">
        <f t="shared" si="16"/>
        <v>0</v>
      </c>
      <c r="AF94">
        <f t="shared" si="17"/>
        <v>0</v>
      </c>
      <c r="AG94">
        <f t="shared" si="18"/>
        <v>0</v>
      </c>
      <c r="AH94">
        <f t="shared" si="19"/>
        <v>0</v>
      </c>
    </row>
    <row r="95" spans="1:34" ht="15.5" x14ac:dyDescent="0.35">
      <c r="A95" s="45" t="s">
        <v>21</v>
      </c>
      <c r="B95" s="45">
        <v>2021</v>
      </c>
      <c r="C95" s="45" t="s">
        <v>65</v>
      </c>
      <c r="D95" s="45" t="s">
        <v>45</v>
      </c>
      <c r="E95" s="55"/>
      <c r="F95" s="55"/>
      <c r="G95" s="55"/>
      <c r="H95" s="55">
        <v>100</v>
      </c>
      <c r="I95" s="55"/>
      <c r="J95" s="55"/>
      <c r="K95" s="55"/>
      <c r="L95" s="55"/>
      <c r="M95" s="55"/>
      <c r="N95" s="55"/>
      <c r="O95" s="55"/>
      <c r="P95" s="55"/>
      <c r="Q95" s="55"/>
      <c r="R95" s="56"/>
      <c r="S95" s="55"/>
      <c r="T95" s="55"/>
      <c r="U95" s="55"/>
      <c r="V95" s="55">
        <v>300</v>
      </c>
      <c r="W95" s="55"/>
      <c r="X95" s="55"/>
      <c r="Y95" s="55">
        <f t="shared" si="10"/>
        <v>0</v>
      </c>
      <c r="Z95">
        <f t="shared" si="11"/>
        <v>100</v>
      </c>
      <c r="AA95">
        <f t="shared" si="12"/>
        <v>0</v>
      </c>
      <c r="AB95">
        <f t="shared" si="13"/>
        <v>0</v>
      </c>
      <c r="AC95">
        <f t="shared" si="14"/>
        <v>0</v>
      </c>
      <c r="AD95">
        <f t="shared" si="15"/>
        <v>0</v>
      </c>
      <c r="AE95">
        <f t="shared" si="16"/>
        <v>0</v>
      </c>
      <c r="AF95">
        <f t="shared" si="17"/>
        <v>0</v>
      </c>
      <c r="AG95">
        <f t="shared" si="18"/>
        <v>300</v>
      </c>
      <c r="AH95">
        <f t="shared" si="19"/>
        <v>0</v>
      </c>
    </row>
    <row r="96" spans="1:34" ht="15.5" x14ac:dyDescent="0.35">
      <c r="A96" s="45" t="s">
        <v>21</v>
      </c>
      <c r="B96" s="45">
        <v>2021</v>
      </c>
      <c r="C96" s="45" t="s">
        <v>43</v>
      </c>
      <c r="D96" s="45" t="s">
        <v>44</v>
      </c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6"/>
      <c r="U96" s="55"/>
      <c r="V96" s="55"/>
      <c r="W96" s="55"/>
      <c r="X96" s="55"/>
      <c r="Y96" s="55">
        <f t="shared" si="10"/>
        <v>0</v>
      </c>
      <c r="Z96">
        <f t="shared" si="11"/>
        <v>0</v>
      </c>
      <c r="AA96">
        <f t="shared" si="12"/>
        <v>0</v>
      </c>
      <c r="AB96">
        <f t="shared" si="13"/>
        <v>0</v>
      </c>
      <c r="AC96">
        <f t="shared" si="14"/>
        <v>0</v>
      </c>
      <c r="AD96">
        <f t="shared" si="15"/>
        <v>0</v>
      </c>
      <c r="AE96">
        <f t="shared" si="16"/>
        <v>0</v>
      </c>
      <c r="AF96">
        <f t="shared" si="17"/>
        <v>0</v>
      </c>
      <c r="AG96">
        <f t="shared" si="18"/>
        <v>0</v>
      </c>
      <c r="AH96">
        <f t="shared" si="19"/>
        <v>0</v>
      </c>
    </row>
    <row r="97" spans="1:34" ht="15.5" x14ac:dyDescent="0.35">
      <c r="A97" s="45" t="s">
        <v>21</v>
      </c>
      <c r="B97" s="45">
        <v>2021</v>
      </c>
      <c r="C97" s="45" t="s">
        <v>43</v>
      </c>
      <c r="D97" s="45" t="s">
        <v>45</v>
      </c>
      <c r="E97" s="55"/>
      <c r="F97" s="55"/>
      <c r="G97" s="55"/>
      <c r="H97" s="55"/>
      <c r="I97" s="55"/>
      <c r="J97" s="56">
        <v>3000</v>
      </c>
      <c r="K97" s="55"/>
      <c r="L97" s="55"/>
      <c r="M97" s="55"/>
      <c r="N97" s="55"/>
      <c r="O97" s="59"/>
      <c r="P97" s="55">
        <v>1000</v>
      </c>
      <c r="Q97" s="55"/>
      <c r="R97" s="55"/>
      <c r="S97" s="55"/>
      <c r="T97" s="55"/>
      <c r="U97" s="55"/>
      <c r="V97" s="55"/>
      <c r="W97" s="55">
        <v>2500</v>
      </c>
      <c r="X97" s="55"/>
      <c r="Y97" s="55">
        <f t="shared" si="10"/>
        <v>0</v>
      </c>
      <c r="Z97">
        <f t="shared" si="11"/>
        <v>0</v>
      </c>
      <c r="AA97">
        <f t="shared" si="12"/>
        <v>3000</v>
      </c>
      <c r="AB97">
        <f t="shared" si="13"/>
        <v>0</v>
      </c>
      <c r="AC97">
        <f t="shared" si="14"/>
        <v>0</v>
      </c>
      <c r="AD97">
        <f t="shared" si="15"/>
        <v>1000</v>
      </c>
      <c r="AE97">
        <f t="shared" si="16"/>
        <v>0</v>
      </c>
      <c r="AF97">
        <f t="shared" si="17"/>
        <v>0</v>
      </c>
      <c r="AG97">
        <f t="shared" si="18"/>
        <v>0</v>
      </c>
      <c r="AH97">
        <f t="shared" si="19"/>
        <v>2500</v>
      </c>
    </row>
    <row r="98" spans="1:34" x14ac:dyDescent="0.35">
      <c r="A98" s="45" t="s">
        <v>21</v>
      </c>
      <c r="B98" s="45">
        <v>2021</v>
      </c>
      <c r="C98" s="45" t="s">
        <v>65</v>
      </c>
      <c r="D98" s="45" t="s">
        <v>44</v>
      </c>
      <c r="E98" s="55"/>
      <c r="F98" s="55"/>
      <c r="G98" s="55"/>
      <c r="H98" s="55"/>
      <c r="I98" s="55"/>
      <c r="J98" s="55">
        <v>2000</v>
      </c>
      <c r="K98" s="55">
        <v>1500</v>
      </c>
      <c r="L98" s="55"/>
      <c r="M98" s="55">
        <v>300</v>
      </c>
      <c r="N98" s="55"/>
      <c r="O98" s="55">
        <v>50</v>
      </c>
      <c r="P98" s="55"/>
      <c r="Q98" s="55"/>
      <c r="R98" s="55"/>
      <c r="S98" s="55"/>
      <c r="T98" s="55"/>
      <c r="U98" s="55">
        <v>10000</v>
      </c>
      <c r="V98" s="55"/>
      <c r="W98" s="55"/>
      <c r="X98" s="55"/>
      <c r="Y98" s="55">
        <f t="shared" si="10"/>
        <v>0</v>
      </c>
      <c r="Z98">
        <f t="shared" si="11"/>
        <v>0</v>
      </c>
      <c r="AA98">
        <f t="shared" si="12"/>
        <v>2000</v>
      </c>
      <c r="AB98">
        <f t="shared" si="13"/>
        <v>1500</v>
      </c>
      <c r="AC98">
        <f t="shared" si="14"/>
        <v>300</v>
      </c>
      <c r="AD98">
        <f t="shared" si="15"/>
        <v>50</v>
      </c>
      <c r="AE98">
        <f t="shared" si="16"/>
        <v>0</v>
      </c>
      <c r="AF98">
        <f t="shared" si="17"/>
        <v>0</v>
      </c>
      <c r="AG98">
        <f t="shared" si="18"/>
        <v>10000</v>
      </c>
      <c r="AH98">
        <f t="shared" si="19"/>
        <v>0</v>
      </c>
    </row>
    <row r="99" spans="1:34" ht="15.5" x14ac:dyDescent="0.35">
      <c r="A99" s="45" t="s">
        <v>21</v>
      </c>
      <c r="B99" s="45">
        <v>2021</v>
      </c>
      <c r="C99" s="45" t="s">
        <v>65</v>
      </c>
      <c r="D99" s="45" t="s">
        <v>45</v>
      </c>
      <c r="E99" s="56">
        <v>8175</v>
      </c>
      <c r="F99" s="55"/>
      <c r="G99" s="55"/>
      <c r="H99" s="55"/>
      <c r="I99" s="55">
        <v>1500</v>
      </c>
      <c r="J99" s="55"/>
      <c r="K99" s="55"/>
      <c r="L99" s="55">
        <v>2000</v>
      </c>
      <c r="M99" s="55"/>
      <c r="N99" s="55"/>
      <c r="O99" s="55"/>
      <c r="P99" s="55"/>
      <c r="Q99" s="55"/>
      <c r="R99" s="55"/>
      <c r="S99" s="55"/>
      <c r="T99" s="55"/>
      <c r="U99" s="55"/>
      <c r="V99" s="55">
        <v>700</v>
      </c>
      <c r="W99" s="55"/>
      <c r="X99" s="55"/>
      <c r="Y99" s="55">
        <f t="shared" si="10"/>
        <v>8175</v>
      </c>
      <c r="Z99">
        <f t="shared" si="11"/>
        <v>0</v>
      </c>
      <c r="AA99">
        <f t="shared" si="12"/>
        <v>1500</v>
      </c>
      <c r="AB99">
        <f t="shared" si="13"/>
        <v>2000</v>
      </c>
      <c r="AC99">
        <f t="shared" si="14"/>
        <v>0</v>
      </c>
      <c r="AD99">
        <f t="shared" si="15"/>
        <v>0</v>
      </c>
      <c r="AE99">
        <f t="shared" si="16"/>
        <v>0</v>
      </c>
      <c r="AF99">
        <f t="shared" si="17"/>
        <v>0</v>
      </c>
      <c r="AG99">
        <f t="shared" si="18"/>
        <v>700</v>
      </c>
      <c r="AH99">
        <f t="shared" si="19"/>
        <v>0</v>
      </c>
    </row>
    <row r="100" spans="1:34" ht="15.5" x14ac:dyDescent="0.35">
      <c r="A100" s="45" t="s">
        <v>21</v>
      </c>
      <c r="B100" s="45">
        <v>2021</v>
      </c>
      <c r="C100" s="45" t="s">
        <v>43</v>
      </c>
      <c r="D100" s="45" t="s">
        <v>46</v>
      </c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9"/>
      <c r="P100" s="55"/>
      <c r="Q100" s="55"/>
      <c r="R100" s="55"/>
      <c r="S100" s="55"/>
      <c r="T100" s="55"/>
      <c r="U100" s="55"/>
      <c r="V100" s="55"/>
      <c r="W100" s="55"/>
      <c r="X100" s="55"/>
      <c r="Y100" s="55">
        <f t="shared" si="10"/>
        <v>0</v>
      </c>
      <c r="Z100">
        <f t="shared" si="11"/>
        <v>0</v>
      </c>
      <c r="AA100">
        <f t="shared" si="12"/>
        <v>0</v>
      </c>
      <c r="AB100">
        <f t="shared" si="13"/>
        <v>0</v>
      </c>
      <c r="AC100">
        <f t="shared" si="14"/>
        <v>0</v>
      </c>
      <c r="AD100">
        <f t="shared" si="15"/>
        <v>0</v>
      </c>
      <c r="AE100">
        <f t="shared" si="16"/>
        <v>0</v>
      </c>
      <c r="AF100">
        <f t="shared" si="17"/>
        <v>0</v>
      </c>
      <c r="AG100">
        <f t="shared" si="18"/>
        <v>0</v>
      </c>
      <c r="AH100">
        <f t="shared" si="19"/>
        <v>0</v>
      </c>
    </row>
    <row r="101" spans="1:34" x14ac:dyDescent="0.35">
      <c r="A101" s="45" t="s">
        <v>21</v>
      </c>
      <c r="B101" s="45">
        <v>2021</v>
      </c>
      <c r="C101" s="45" t="s">
        <v>43</v>
      </c>
      <c r="D101" s="45" t="s">
        <v>46</v>
      </c>
      <c r="E101" s="55"/>
      <c r="F101" s="55">
        <v>600</v>
      </c>
      <c r="G101" s="55"/>
      <c r="H101" s="55"/>
      <c r="I101" s="55"/>
      <c r="J101" s="55"/>
      <c r="K101" s="55"/>
      <c r="L101" s="55"/>
      <c r="M101" s="55"/>
      <c r="N101" s="55">
        <v>1000</v>
      </c>
      <c r="O101" s="55"/>
      <c r="P101" s="55"/>
      <c r="Q101" s="55"/>
      <c r="R101" s="55"/>
      <c r="S101" s="55">
        <v>300</v>
      </c>
      <c r="T101" s="55"/>
      <c r="U101" s="55"/>
      <c r="V101" s="55"/>
      <c r="W101" s="55"/>
      <c r="X101" s="55">
        <v>10000</v>
      </c>
      <c r="Y101" s="55">
        <f t="shared" si="10"/>
        <v>600</v>
      </c>
      <c r="Z101">
        <f t="shared" si="11"/>
        <v>0</v>
      </c>
      <c r="AA101">
        <f t="shared" si="12"/>
        <v>0</v>
      </c>
      <c r="AB101">
        <f t="shared" si="13"/>
        <v>0</v>
      </c>
      <c r="AC101">
        <f t="shared" si="14"/>
        <v>1000</v>
      </c>
      <c r="AD101">
        <f t="shared" si="15"/>
        <v>0</v>
      </c>
      <c r="AE101">
        <f t="shared" si="16"/>
        <v>0</v>
      </c>
      <c r="AF101">
        <f t="shared" si="17"/>
        <v>300</v>
      </c>
      <c r="AG101">
        <f t="shared" si="18"/>
        <v>0</v>
      </c>
      <c r="AH101">
        <f t="shared" si="19"/>
        <v>10000</v>
      </c>
    </row>
    <row r="102" spans="1:34" x14ac:dyDescent="0.35">
      <c r="A102" s="45" t="s">
        <v>21</v>
      </c>
      <c r="B102" s="45">
        <v>2021</v>
      </c>
      <c r="C102" s="45" t="s">
        <v>65</v>
      </c>
      <c r="D102" s="45" t="s">
        <v>139</v>
      </c>
      <c r="E102" s="55"/>
      <c r="F102" s="55"/>
      <c r="G102" s="55"/>
      <c r="H102" s="55"/>
      <c r="I102" s="55"/>
      <c r="J102" s="55"/>
      <c r="K102" s="55"/>
      <c r="L102" s="55"/>
      <c r="M102" s="55">
        <v>700</v>
      </c>
      <c r="N102" s="55"/>
      <c r="O102" s="55"/>
      <c r="P102" s="55">
        <v>300</v>
      </c>
      <c r="Q102" s="55"/>
      <c r="R102" s="55">
        <v>2000</v>
      </c>
      <c r="S102" s="55"/>
      <c r="T102" s="55"/>
      <c r="U102" s="55"/>
      <c r="V102" s="55"/>
      <c r="W102" s="55"/>
      <c r="X102" s="55"/>
      <c r="Y102" s="55">
        <f t="shared" si="10"/>
        <v>0</v>
      </c>
      <c r="Z102">
        <f t="shared" si="11"/>
        <v>0</v>
      </c>
      <c r="AA102">
        <f t="shared" si="12"/>
        <v>0</v>
      </c>
      <c r="AB102">
        <f t="shared" si="13"/>
        <v>0</v>
      </c>
      <c r="AC102">
        <f t="shared" si="14"/>
        <v>700</v>
      </c>
      <c r="AD102">
        <f t="shared" si="15"/>
        <v>300</v>
      </c>
      <c r="AE102">
        <f t="shared" si="16"/>
        <v>2000</v>
      </c>
      <c r="AF102">
        <f t="shared" si="17"/>
        <v>0</v>
      </c>
      <c r="AG102">
        <f t="shared" si="18"/>
        <v>0</v>
      </c>
      <c r="AH102">
        <f t="shared" si="19"/>
        <v>0</v>
      </c>
    </row>
    <row r="103" spans="1:34" x14ac:dyDescent="0.35">
      <c r="A103" s="45" t="s">
        <v>21</v>
      </c>
      <c r="B103" s="45">
        <v>2021</v>
      </c>
      <c r="C103" s="45" t="s">
        <v>65</v>
      </c>
      <c r="D103" s="45" t="s">
        <v>139</v>
      </c>
      <c r="E103" s="55"/>
      <c r="F103" s="55"/>
      <c r="G103" s="55">
        <v>208</v>
      </c>
      <c r="H103" s="55"/>
      <c r="I103" s="55"/>
      <c r="J103" s="55"/>
      <c r="K103" s="55"/>
      <c r="L103" s="55"/>
      <c r="M103" s="55"/>
      <c r="N103" s="55"/>
      <c r="O103" s="55">
        <v>2500</v>
      </c>
      <c r="P103" s="55"/>
      <c r="Q103" s="55"/>
      <c r="R103" s="55"/>
      <c r="S103" s="55"/>
      <c r="T103" s="55"/>
      <c r="U103" s="55"/>
      <c r="V103" s="55"/>
      <c r="W103" s="55"/>
      <c r="X103" s="55"/>
      <c r="Y103" s="55">
        <f t="shared" si="10"/>
        <v>0</v>
      </c>
      <c r="Z103">
        <f t="shared" si="11"/>
        <v>208</v>
      </c>
      <c r="AA103">
        <f t="shared" si="12"/>
        <v>0</v>
      </c>
      <c r="AB103">
        <f t="shared" si="13"/>
        <v>0</v>
      </c>
      <c r="AC103">
        <f t="shared" si="14"/>
        <v>0</v>
      </c>
      <c r="AD103">
        <f t="shared" si="15"/>
        <v>2500</v>
      </c>
      <c r="AE103">
        <f t="shared" si="16"/>
        <v>0</v>
      </c>
      <c r="AF103">
        <f t="shared" si="17"/>
        <v>0</v>
      </c>
      <c r="AG103">
        <f t="shared" si="18"/>
        <v>0</v>
      </c>
      <c r="AH103">
        <f t="shared" si="19"/>
        <v>0</v>
      </c>
    </row>
    <row r="104" spans="1:34" x14ac:dyDescent="0.35">
      <c r="A104" s="45" t="s">
        <v>21</v>
      </c>
      <c r="B104" s="45">
        <v>2021</v>
      </c>
      <c r="C104" s="45" t="s">
        <v>43</v>
      </c>
      <c r="D104" s="45" t="s">
        <v>69</v>
      </c>
      <c r="E104" s="55"/>
      <c r="F104" s="55"/>
      <c r="G104" s="55"/>
      <c r="H104" s="55">
        <v>510</v>
      </c>
      <c r="I104" s="55"/>
      <c r="J104" s="55"/>
      <c r="K104" s="55"/>
      <c r="L104" s="55">
        <v>2500</v>
      </c>
      <c r="M104" s="55"/>
      <c r="N104" s="55">
        <v>88</v>
      </c>
      <c r="O104" s="55"/>
      <c r="P104" s="55"/>
      <c r="Q104" s="55"/>
      <c r="R104" s="55"/>
      <c r="S104" s="55"/>
      <c r="T104" s="55">
        <v>1000</v>
      </c>
      <c r="U104" s="55"/>
      <c r="V104" s="55"/>
      <c r="W104" s="55"/>
      <c r="X104" s="55">
        <v>500</v>
      </c>
      <c r="Y104" s="55">
        <f t="shared" si="10"/>
        <v>0</v>
      </c>
      <c r="Z104">
        <f t="shared" si="11"/>
        <v>510</v>
      </c>
      <c r="AA104">
        <f t="shared" si="12"/>
        <v>0</v>
      </c>
      <c r="AB104">
        <f t="shared" si="13"/>
        <v>2500</v>
      </c>
      <c r="AC104">
        <f t="shared" si="14"/>
        <v>88</v>
      </c>
      <c r="AD104">
        <f t="shared" si="15"/>
        <v>0</v>
      </c>
      <c r="AE104">
        <f t="shared" si="16"/>
        <v>0</v>
      </c>
      <c r="AF104">
        <f t="shared" si="17"/>
        <v>1000</v>
      </c>
      <c r="AG104">
        <f t="shared" si="18"/>
        <v>0</v>
      </c>
      <c r="AH104">
        <f t="shared" si="19"/>
        <v>500</v>
      </c>
    </row>
    <row r="105" spans="1:34" ht="15.5" x14ac:dyDescent="0.35">
      <c r="A105" s="45" t="s">
        <v>21</v>
      </c>
      <c r="B105" s="45">
        <v>2021</v>
      </c>
      <c r="C105" s="45" t="s">
        <v>43</v>
      </c>
      <c r="D105" s="45" t="s">
        <v>140</v>
      </c>
      <c r="E105" s="55"/>
      <c r="F105" s="56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>
        <v>700</v>
      </c>
      <c r="T105" s="55"/>
      <c r="U105" s="55"/>
      <c r="V105" s="59"/>
      <c r="W105" s="55"/>
      <c r="X105" s="55"/>
      <c r="Y105" s="55">
        <f t="shared" si="10"/>
        <v>0</v>
      </c>
      <c r="Z105">
        <f t="shared" si="11"/>
        <v>0</v>
      </c>
      <c r="AA105">
        <f t="shared" si="12"/>
        <v>0</v>
      </c>
      <c r="AB105">
        <f t="shared" si="13"/>
        <v>0</v>
      </c>
      <c r="AC105">
        <f t="shared" si="14"/>
        <v>0</v>
      </c>
      <c r="AD105">
        <f t="shared" si="15"/>
        <v>0</v>
      </c>
      <c r="AE105">
        <f t="shared" si="16"/>
        <v>0</v>
      </c>
      <c r="AF105">
        <f t="shared" si="17"/>
        <v>700</v>
      </c>
      <c r="AG105">
        <f t="shared" si="18"/>
        <v>0</v>
      </c>
      <c r="AH105">
        <f t="shared" si="19"/>
        <v>0</v>
      </c>
    </row>
    <row r="106" spans="1:34" x14ac:dyDescent="0.35">
      <c r="A106" s="45" t="s">
        <v>21</v>
      </c>
      <c r="B106" s="45">
        <v>2021</v>
      </c>
      <c r="C106" s="45" t="s">
        <v>65</v>
      </c>
      <c r="D106" s="45" t="s">
        <v>141</v>
      </c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>
        <v>1000</v>
      </c>
      <c r="R106" s="55"/>
      <c r="S106" s="55"/>
      <c r="T106" s="55"/>
      <c r="U106" s="55"/>
      <c r="V106" s="55">
        <v>50</v>
      </c>
      <c r="W106" s="55"/>
      <c r="X106" s="55"/>
      <c r="Y106" s="55">
        <f t="shared" si="10"/>
        <v>0</v>
      </c>
      <c r="Z106">
        <f t="shared" si="11"/>
        <v>0</v>
      </c>
      <c r="AA106">
        <f t="shared" si="12"/>
        <v>0</v>
      </c>
      <c r="AB106">
        <f t="shared" si="13"/>
        <v>0</v>
      </c>
      <c r="AC106">
        <f t="shared" si="14"/>
        <v>0</v>
      </c>
      <c r="AD106">
        <f t="shared" si="15"/>
        <v>0</v>
      </c>
      <c r="AE106">
        <f t="shared" si="16"/>
        <v>1000</v>
      </c>
      <c r="AF106">
        <f t="shared" si="17"/>
        <v>0</v>
      </c>
      <c r="AG106">
        <f t="shared" si="18"/>
        <v>50</v>
      </c>
      <c r="AH106">
        <f t="shared" si="19"/>
        <v>0</v>
      </c>
    </row>
    <row r="107" spans="1:34" ht="15.5" x14ac:dyDescent="0.35">
      <c r="A107" s="45" t="s">
        <v>21</v>
      </c>
      <c r="B107" s="45">
        <v>2021</v>
      </c>
      <c r="C107" s="45" t="s">
        <v>65</v>
      </c>
      <c r="D107" s="45" t="s">
        <v>69</v>
      </c>
      <c r="E107" s="55"/>
      <c r="F107" s="55"/>
      <c r="G107" s="56"/>
      <c r="H107" s="55"/>
      <c r="I107" s="55"/>
      <c r="J107" s="55"/>
      <c r="K107" s="55">
        <v>50</v>
      </c>
      <c r="L107" s="55"/>
      <c r="M107" s="55"/>
      <c r="N107" s="61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>
        <f t="shared" si="10"/>
        <v>0</v>
      </c>
      <c r="Z107">
        <f t="shared" si="11"/>
        <v>0</v>
      </c>
      <c r="AA107">
        <f t="shared" si="12"/>
        <v>0</v>
      </c>
      <c r="AB107">
        <f t="shared" si="13"/>
        <v>50</v>
      </c>
      <c r="AC107">
        <f t="shared" si="14"/>
        <v>0</v>
      </c>
      <c r="AD107">
        <f t="shared" si="15"/>
        <v>0</v>
      </c>
      <c r="AE107">
        <f t="shared" si="16"/>
        <v>0</v>
      </c>
      <c r="AF107">
        <f t="shared" si="17"/>
        <v>0</v>
      </c>
      <c r="AG107">
        <f t="shared" si="18"/>
        <v>0</v>
      </c>
      <c r="AH107">
        <f t="shared" si="19"/>
        <v>0</v>
      </c>
    </row>
    <row r="108" spans="1:34" ht="15.5" x14ac:dyDescent="0.35">
      <c r="A108" s="45" t="s">
        <v>21</v>
      </c>
      <c r="B108" s="45">
        <v>2021</v>
      </c>
      <c r="C108" s="45" t="s">
        <v>43</v>
      </c>
      <c r="D108" s="45" t="s">
        <v>142</v>
      </c>
      <c r="E108" s="55"/>
      <c r="F108" s="55"/>
      <c r="G108" s="55">
        <v>150</v>
      </c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60"/>
      <c r="U108" s="55"/>
      <c r="V108" s="55"/>
      <c r="W108" s="55"/>
      <c r="X108" s="55">
        <v>2500</v>
      </c>
      <c r="Y108" s="55">
        <f t="shared" si="10"/>
        <v>0</v>
      </c>
      <c r="Z108">
        <f t="shared" si="11"/>
        <v>150</v>
      </c>
      <c r="AA108">
        <f t="shared" si="12"/>
        <v>0</v>
      </c>
      <c r="AB108">
        <f t="shared" si="13"/>
        <v>0</v>
      </c>
      <c r="AC108">
        <f t="shared" si="14"/>
        <v>0</v>
      </c>
      <c r="AD108">
        <f t="shared" si="15"/>
        <v>0</v>
      </c>
      <c r="AE108">
        <f t="shared" si="16"/>
        <v>0</v>
      </c>
      <c r="AF108">
        <f t="shared" si="17"/>
        <v>0</v>
      </c>
      <c r="AG108">
        <f t="shared" si="18"/>
        <v>0</v>
      </c>
      <c r="AH108">
        <f t="shared" si="19"/>
        <v>2500</v>
      </c>
    </row>
    <row r="109" spans="1:34" x14ac:dyDescent="0.35">
      <c r="A109" s="45" t="s">
        <v>21</v>
      </c>
      <c r="B109" s="45">
        <v>2017</v>
      </c>
      <c r="C109" s="45" t="s">
        <v>43</v>
      </c>
      <c r="D109" s="45" t="s">
        <v>44</v>
      </c>
      <c r="E109" s="55"/>
      <c r="F109" s="55"/>
      <c r="G109" s="55"/>
      <c r="H109" s="55"/>
      <c r="I109" s="55">
        <v>340</v>
      </c>
      <c r="J109" s="55"/>
      <c r="K109" s="55"/>
      <c r="L109" s="55"/>
      <c r="M109" s="55"/>
      <c r="N109" s="55"/>
      <c r="O109" s="55"/>
      <c r="P109" s="55">
        <v>2500</v>
      </c>
      <c r="Q109" s="55"/>
      <c r="R109" s="55"/>
      <c r="S109" s="55"/>
      <c r="T109" s="55"/>
      <c r="U109" s="55"/>
      <c r="V109" s="55"/>
      <c r="W109" s="55"/>
      <c r="X109" s="55"/>
      <c r="Y109" s="55">
        <f t="shared" si="10"/>
        <v>0</v>
      </c>
      <c r="Z109">
        <f t="shared" si="11"/>
        <v>0</v>
      </c>
      <c r="AA109">
        <f t="shared" si="12"/>
        <v>340</v>
      </c>
      <c r="AB109">
        <f t="shared" si="13"/>
        <v>0</v>
      </c>
      <c r="AC109">
        <f t="shared" si="14"/>
        <v>0</v>
      </c>
      <c r="AD109">
        <f t="shared" si="15"/>
        <v>2500</v>
      </c>
      <c r="AE109">
        <f t="shared" si="16"/>
        <v>0</v>
      </c>
      <c r="AF109">
        <f t="shared" si="17"/>
        <v>0</v>
      </c>
      <c r="AG109">
        <f t="shared" si="18"/>
        <v>0</v>
      </c>
      <c r="AH109">
        <f t="shared" si="19"/>
        <v>0</v>
      </c>
    </row>
    <row r="110" spans="1:34" ht="15.5" x14ac:dyDescent="0.35">
      <c r="A110" s="45" t="s">
        <v>21</v>
      </c>
      <c r="B110" s="45">
        <v>2017</v>
      </c>
      <c r="C110" s="45" t="s">
        <v>65</v>
      </c>
      <c r="D110" s="45" t="s">
        <v>45</v>
      </c>
      <c r="E110" s="56"/>
      <c r="F110" s="55"/>
      <c r="G110" s="55"/>
      <c r="H110" s="55"/>
      <c r="I110" s="55"/>
      <c r="J110" s="55"/>
      <c r="K110" s="55"/>
      <c r="L110" s="55"/>
      <c r="M110" s="55"/>
      <c r="N110" s="61"/>
      <c r="O110" s="55">
        <v>500</v>
      </c>
      <c r="P110" s="55"/>
      <c r="Q110" s="55"/>
      <c r="R110" s="55"/>
      <c r="S110" s="55"/>
      <c r="T110" s="55"/>
      <c r="U110" s="55"/>
      <c r="V110" s="55">
        <v>10000</v>
      </c>
      <c r="W110" s="55"/>
      <c r="X110" s="55">
        <v>88</v>
      </c>
      <c r="Y110" s="55">
        <f t="shared" si="10"/>
        <v>0</v>
      </c>
      <c r="Z110">
        <f t="shared" si="11"/>
        <v>0</v>
      </c>
      <c r="AA110">
        <f t="shared" si="12"/>
        <v>0</v>
      </c>
      <c r="AB110">
        <f t="shared" si="13"/>
        <v>0</v>
      </c>
      <c r="AC110">
        <f t="shared" si="14"/>
        <v>0</v>
      </c>
      <c r="AD110">
        <f t="shared" si="15"/>
        <v>500</v>
      </c>
      <c r="AE110">
        <f t="shared" si="16"/>
        <v>0</v>
      </c>
      <c r="AF110">
        <f t="shared" si="17"/>
        <v>0</v>
      </c>
      <c r="AG110">
        <f t="shared" si="18"/>
        <v>10000</v>
      </c>
      <c r="AH110">
        <f t="shared" si="19"/>
        <v>88</v>
      </c>
    </row>
    <row r="111" spans="1:34" x14ac:dyDescent="0.35">
      <c r="A111" s="45" t="s">
        <v>21</v>
      </c>
      <c r="B111" s="45">
        <v>2017</v>
      </c>
      <c r="C111" s="45" t="s">
        <v>65</v>
      </c>
      <c r="D111" s="45" t="s">
        <v>44</v>
      </c>
      <c r="E111" s="55"/>
      <c r="F111" s="55"/>
      <c r="G111" s="55"/>
      <c r="H111" s="55"/>
      <c r="I111" s="55">
        <v>300</v>
      </c>
      <c r="J111" s="55"/>
      <c r="K111" s="55"/>
      <c r="L111" s="55"/>
      <c r="M111" s="55"/>
      <c r="N111" s="55"/>
      <c r="O111" s="55"/>
      <c r="P111" s="55"/>
      <c r="Q111" s="55"/>
      <c r="R111" s="55"/>
      <c r="S111" s="55">
        <v>2500</v>
      </c>
      <c r="T111" s="55"/>
      <c r="U111" s="55"/>
      <c r="V111" s="55"/>
      <c r="W111" s="55"/>
      <c r="X111" s="55"/>
      <c r="Y111" s="55">
        <f t="shared" si="10"/>
        <v>0</v>
      </c>
      <c r="Z111">
        <f t="shared" si="11"/>
        <v>0</v>
      </c>
      <c r="AA111">
        <f t="shared" si="12"/>
        <v>300</v>
      </c>
      <c r="AB111">
        <f t="shared" si="13"/>
        <v>0</v>
      </c>
      <c r="AC111">
        <f t="shared" si="14"/>
        <v>0</v>
      </c>
      <c r="AD111">
        <f t="shared" si="15"/>
        <v>0</v>
      </c>
      <c r="AE111">
        <f t="shared" si="16"/>
        <v>0</v>
      </c>
      <c r="AF111">
        <f t="shared" si="17"/>
        <v>2500</v>
      </c>
      <c r="AG111">
        <f t="shared" si="18"/>
        <v>0</v>
      </c>
      <c r="AH111">
        <f t="shared" si="19"/>
        <v>0</v>
      </c>
    </row>
    <row r="112" spans="1:34" ht="15.5" x14ac:dyDescent="0.35">
      <c r="A112" s="45" t="s">
        <v>21</v>
      </c>
      <c r="B112" s="45">
        <v>2017</v>
      </c>
      <c r="C112" s="45" t="s">
        <v>43</v>
      </c>
      <c r="D112" s="45" t="s">
        <v>45</v>
      </c>
      <c r="E112" s="57"/>
      <c r="F112" s="55"/>
      <c r="G112" s="55"/>
      <c r="H112" s="55">
        <v>2500</v>
      </c>
      <c r="I112" s="55"/>
      <c r="J112" s="55"/>
      <c r="K112" s="55"/>
      <c r="L112" s="55"/>
      <c r="M112" s="55"/>
      <c r="N112" s="55"/>
      <c r="O112" s="55"/>
      <c r="P112" s="55"/>
      <c r="Q112" s="55"/>
      <c r="R112" s="61"/>
      <c r="S112" s="55"/>
      <c r="T112" s="55"/>
      <c r="U112" s="55"/>
      <c r="V112" s="55"/>
      <c r="W112" s="55"/>
      <c r="X112" s="55"/>
      <c r="Y112" s="55">
        <f t="shared" si="10"/>
        <v>0</v>
      </c>
      <c r="Z112">
        <f t="shared" si="11"/>
        <v>2500</v>
      </c>
      <c r="AA112">
        <f t="shared" si="12"/>
        <v>0</v>
      </c>
      <c r="AB112">
        <f t="shared" si="13"/>
        <v>0</v>
      </c>
      <c r="AC112">
        <f t="shared" si="14"/>
        <v>0</v>
      </c>
      <c r="AD112">
        <f t="shared" si="15"/>
        <v>0</v>
      </c>
      <c r="AE112">
        <f t="shared" si="16"/>
        <v>0</v>
      </c>
      <c r="AF112">
        <f t="shared" si="17"/>
        <v>0</v>
      </c>
      <c r="AG112">
        <f t="shared" si="18"/>
        <v>0</v>
      </c>
      <c r="AH112">
        <f t="shared" si="19"/>
        <v>0</v>
      </c>
    </row>
    <row r="113" spans="1:34" ht="15.5" x14ac:dyDescent="0.35">
      <c r="A113" s="45" t="s">
        <v>21</v>
      </c>
      <c r="B113" s="45">
        <v>2016</v>
      </c>
      <c r="C113" s="45" t="s">
        <v>43</v>
      </c>
      <c r="D113" s="45" t="s">
        <v>44</v>
      </c>
      <c r="E113" s="55"/>
      <c r="F113" s="55"/>
      <c r="G113" s="55">
        <v>500</v>
      </c>
      <c r="H113" s="55"/>
      <c r="I113" s="55"/>
      <c r="J113" s="55"/>
      <c r="K113" s="55">
        <v>12000</v>
      </c>
      <c r="L113" s="55"/>
      <c r="M113" s="55"/>
      <c r="N113" s="61"/>
      <c r="O113" s="55"/>
      <c r="P113" s="55"/>
      <c r="Q113" s="55"/>
      <c r="R113" s="55">
        <v>2500</v>
      </c>
      <c r="S113" s="55"/>
      <c r="T113" s="61"/>
      <c r="U113" s="55"/>
      <c r="V113" s="55"/>
      <c r="W113" s="55"/>
      <c r="X113" s="55"/>
      <c r="Y113" s="55">
        <f t="shared" si="10"/>
        <v>0</v>
      </c>
      <c r="Z113">
        <f t="shared" si="11"/>
        <v>500</v>
      </c>
      <c r="AA113">
        <f t="shared" si="12"/>
        <v>0</v>
      </c>
      <c r="AB113">
        <f t="shared" si="13"/>
        <v>12000</v>
      </c>
      <c r="AC113">
        <f t="shared" si="14"/>
        <v>0</v>
      </c>
      <c r="AD113">
        <f t="shared" si="15"/>
        <v>0</v>
      </c>
      <c r="AE113">
        <f t="shared" si="16"/>
        <v>2500</v>
      </c>
      <c r="AF113">
        <f t="shared" si="17"/>
        <v>0</v>
      </c>
      <c r="AG113">
        <f t="shared" si="18"/>
        <v>0</v>
      </c>
      <c r="AH113">
        <f t="shared" si="19"/>
        <v>0</v>
      </c>
    </row>
    <row r="114" spans="1:34" ht="15.5" x14ac:dyDescent="0.35">
      <c r="A114" s="45" t="s">
        <v>21</v>
      </c>
      <c r="B114" s="45">
        <v>2016</v>
      </c>
      <c r="C114" s="45" t="s">
        <v>65</v>
      </c>
      <c r="D114" s="45" t="s">
        <v>45</v>
      </c>
      <c r="E114" s="59"/>
      <c r="F114" s="55">
        <v>1000</v>
      </c>
      <c r="G114" s="55"/>
      <c r="H114" s="55"/>
      <c r="I114" s="55"/>
      <c r="J114" s="55"/>
      <c r="K114" s="55"/>
      <c r="L114" s="55">
        <v>2000</v>
      </c>
      <c r="M114" s="55"/>
      <c r="N114" s="55"/>
      <c r="O114" s="55"/>
      <c r="P114" s="55"/>
      <c r="Q114" s="55"/>
      <c r="R114" s="55"/>
      <c r="S114" s="55"/>
      <c r="T114" s="55"/>
      <c r="U114" s="55">
        <v>300</v>
      </c>
      <c r="V114" s="55"/>
      <c r="W114" s="55"/>
      <c r="X114" s="61"/>
      <c r="Y114" s="55">
        <f t="shared" si="10"/>
        <v>1000</v>
      </c>
      <c r="Z114">
        <f t="shared" si="11"/>
        <v>0</v>
      </c>
      <c r="AA114">
        <f t="shared" si="12"/>
        <v>0</v>
      </c>
      <c r="AB114">
        <f t="shared" si="13"/>
        <v>2000</v>
      </c>
      <c r="AC114">
        <f t="shared" si="14"/>
        <v>0</v>
      </c>
      <c r="AD114">
        <f t="shared" si="15"/>
        <v>0</v>
      </c>
      <c r="AE114">
        <f t="shared" si="16"/>
        <v>0</v>
      </c>
      <c r="AF114">
        <f t="shared" si="17"/>
        <v>0</v>
      </c>
      <c r="AG114">
        <f t="shared" si="18"/>
        <v>300</v>
      </c>
      <c r="AH114">
        <f t="shared" si="19"/>
        <v>0</v>
      </c>
    </row>
    <row r="115" spans="1:34" ht="15.5" x14ac:dyDescent="0.35">
      <c r="A115" s="45" t="s">
        <v>21</v>
      </c>
      <c r="B115" s="45">
        <v>2016</v>
      </c>
      <c r="C115" s="45" t="s">
        <v>65</v>
      </c>
      <c r="D115" s="45" t="s">
        <v>46</v>
      </c>
      <c r="E115" s="55">
        <v>50</v>
      </c>
      <c r="F115" s="55"/>
      <c r="G115" s="55"/>
      <c r="H115" s="55"/>
      <c r="I115" s="55"/>
      <c r="J115" s="55"/>
      <c r="K115" s="55"/>
      <c r="L115" s="55"/>
      <c r="M115" s="55"/>
      <c r="N115" s="55"/>
      <c r="O115" s="59"/>
      <c r="P115" s="55"/>
      <c r="Q115" s="55"/>
      <c r="R115" s="61"/>
      <c r="S115" s="55"/>
      <c r="T115" s="55"/>
      <c r="U115" s="55"/>
      <c r="V115" s="55"/>
      <c r="W115" s="55"/>
      <c r="X115" s="55"/>
      <c r="Y115" s="55">
        <f t="shared" si="10"/>
        <v>50</v>
      </c>
      <c r="Z115">
        <f t="shared" si="11"/>
        <v>0</v>
      </c>
      <c r="AA115">
        <f t="shared" si="12"/>
        <v>0</v>
      </c>
      <c r="AB115">
        <f t="shared" si="13"/>
        <v>0</v>
      </c>
      <c r="AC115">
        <f t="shared" si="14"/>
        <v>0</v>
      </c>
      <c r="AD115">
        <f t="shared" si="15"/>
        <v>0</v>
      </c>
      <c r="AE115">
        <f t="shared" si="16"/>
        <v>0</v>
      </c>
      <c r="AF115">
        <f t="shared" si="17"/>
        <v>0</v>
      </c>
      <c r="AG115">
        <f t="shared" si="18"/>
        <v>0</v>
      </c>
      <c r="AH115">
        <f t="shared" si="19"/>
        <v>0</v>
      </c>
    </row>
    <row r="116" spans="1:34" ht="15.5" x14ac:dyDescent="0.35">
      <c r="A116" s="45" t="s">
        <v>21</v>
      </c>
      <c r="B116" s="45">
        <v>2016</v>
      </c>
      <c r="C116" s="45" t="s">
        <v>43</v>
      </c>
      <c r="D116" s="45" t="s">
        <v>46</v>
      </c>
      <c r="E116" s="55"/>
      <c r="F116" s="56"/>
      <c r="G116" s="55"/>
      <c r="H116" s="55"/>
      <c r="I116" s="55"/>
      <c r="J116" s="55"/>
      <c r="K116" s="55"/>
      <c r="L116" s="55"/>
      <c r="M116" s="55"/>
      <c r="N116" s="55">
        <v>1000</v>
      </c>
      <c r="O116" s="55"/>
      <c r="P116" s="55"/>
      <c r="Q116" s="55"/>
      <c r="R116" s="55"/>
      <c r="S116" s="55"/>
      <c r="T116" s="61"/>
      <c r="U116" s="55"/>
      <c r="V116" s="55">
        <v>20</v>
      </c>
      <c r="W116" s="55"/>
      <c r="X116" s="55"/>
      <c r="Y116" s="55">
        <f t="shared" si="10"/>
        <v>0</v>
      </c>
      <c r="Z116">
        <f t="shared" si="11"/>
        <v>0</v>
      </c>
      <c r="AA116">
        <f t="shared" si="12"/>
        <v>0</v>
      </c>
      <c r="AB116">
        <f t="shared" si="13"/>
        <v>0</v>
      </c>
      <c r="AC116">
        <f t="shared" si="14"/>
        <v>1000</v>
      </c>
      <c r="AD116">
        <f t="shared" si="15"/>
        <v>0</v>
      </c>
      <c r="AE116">
        <f t="shared" si="16"/>
        <v>0</v>
      </c>
      <c r="AF116">
        <f t="shared" si="17"/>
        <v>0</v>
      </c>
      <c r="AG116">
        <f t="shared" si="18"/>
        <v>20</v>
      </c>
      <c r="AH116">
        <f t="shared" si="19"/>
        <v>0</v>
      </c>
    </row>
    <row r="117" spans="1:34" x14ac:dyDescent="0.35">
      <c r="A117" s="45" t="s">
        <v>21</v>
      </c>
      <c r="B117" s="45">
        <v>2016</v>
      </c>
      <c r="C117" s="45" t="s">
        <v>43</v>
      </c>
      <c r="D117" s="45" t="s">
        <v>139</v>
      </c>
      <c r="E117" s="55"/>
      <c r="F117" s="55"/>
      <c r="G117" s="55"/>
      <c r="H117" s="55"/>
      <c r="I117" s="55"/>
      <c r="J117" s="55">
        <v>300</v>
      </c>
      <c r="K117" s="55"/>
      <c r="L117" s="55"/>
      <c r="M117" s="55">
        <v>700</v>
      </c>
      <c r="N117" s="55"/>
      <c r="O117" s="55"/>
      <c r="P117" s="55">
        <v>300</v>
      </c>
      <c r="Q117" s="55"/>
      <c r="R117" s="55"/>
      <c r="S117" s="55"/>
      <c r="T117" s="55">
        <v>88</v>
      </c>
      <c r="U117" s="55"/>
      <c r="V117" s="55"/>
      <c r="W117" s="55"/>
      <c r="X117" s="55"/>
      <c r="Y117" s="55">
        <f t="shared" si="10"/>
        <v>0</v>
      </c>
      <c r="Z117">
        <f t="shared" si="11"/>
        <v>0</v>
      </c>
      <c r="AA117">
        <f t="shared" si="12"/>
        <v>300</v>
      </c>
      <c r="AB117">
        <f t="shared" si="13"/>
        <v>0</v>
      </c>
      <c r="AC117">
        <f t="shared" si="14"/>
        <v>700</v>
      </c>
      <c r="AD117">
        <f t="shared" si="15"/>
        <v>300</v>
      </c>
      <c r="AE117">
        <f t="shared" si="16"/>
        <v>0</v>
      </c>
      <c r="AF117">
        <f t="shared" si="17"/>
        <v>88</v>
      </c>
      <c r="AG117">
        <f t="shared" si="18"/>
        <v>0</v>
      </c>
      <c r="AH117">
        <f t="shared" si="19"/>
        <v>0</v>
      </c>
    </row>
    <row r="118" spans="1:34" ht="15.5" x14ac:dyDescent="0.35">
      <c r="A118" s="45" t="s">
        <v>21</v>
      </c>
      <c r="B118" s="45">
        <v>2022</v>
      </c>
      <c r="C118" s="45" t="s">
        <v>65</v>
      </c>
      <c r="D118" s="45" t="s">
        <v>139</v>
      </c>
      <c r="E118" s="55"/>
      <c r="F118" s="57"/>
      <c r="G118" s="55"/>
      <c r="H118" s="55"/>
      <c r="I118" s="55">
        <v>2500</v>
      </c>
      <c r="J118" s="55"/>
      <c r="K118" s="55"/>
      <c r="L118" s="55"/>
      <c r="M118" s="55"/>
      <c r="N118" s="55"/>
      <c r="O118" s="55">
        <v>2500</v>
      </c>
      <c r="P118" s="55"/>
      <c r="Q118" s="55"/>
      <c r="R118" s="55"/>
      <c r="S118" s="55"/>
      <c r="T118" s="55"/>
      <c r="U118" s="55"/>
      <c r="V118" s="55"/>
      <c r="W118" s="55"/>
      <c r="X118" s="55"/>
      <c r="Y118" s="55">
        <f t="shared" si="10"/>
        <v>0</v>
      </c>
      <c r="Z118">
        <f t="shared" si="11"/>
        <v>0</v>
      </c>
      <c r="AA118">
        <f t="shared" si="12"/>
        <v>2500</v>
      </c>
      <c r="AB118">
        <f t="shared" si="13"/>
        <v>0</v>
      </c>
      <c r="AC118">
        <f t="shared" si="14"/>
        <v>0</v>
      </c>
      <c r="AD118">
        <f t="shared" si="15"/>
        <v>2500</v>
      </c>
      <c r="AE118">
        <f t="shared" si="16"/>
        <v>0</v>
      </c>
      <c r="AF118">
        <f t="shared" si="17"/>
        <v>0</v>
      </c>
      <c r="AG118">
        <f t="shared" si="18"/>
        <v>0</v>
      </c>
      <c r="AH118">
        <f t="shared" si="19"/>
        <v>0</v>
      </c>
    </row>
    <row r="119" spans="1:34" ht="15.5" x14ac:dyDescent="0.35">
      <c r="A119" s="45" t="s">
        <v>21</v>
      </c>
      <c r="B119" s="45">
        <v>2022</v>
      </c>
      <c r="C119" s="45" t="s">
        <v>65</v>
      </c>
      <c r="D119" s="45" t="s">
        <v>69</v>
      </c>
      <c r="E119" s="55">
        <v>10000</v>
      </c>
      <c r="F119" s="55"/>
      <c r="G119" s="55"/>
      <c r="H119" s="55">
        <v>500</v>
      </c>
      <c r="I119" s="55"/>
      <c r="J119" s="55"/>
      <c r="K119" s="55"/>
      <c r="L119" s="55">
        <v>2500</v>
      </c>
      <c r="M119" s="55"/>
      <c r="N119" s="55">
        <v>88</v>
      </c>
      <c r="O119" s="55"/>
      <c r="P119" s="55"/>
      <c r="Q119" s="55"/>
      <c r="R119" s="61"/>
      <c r="S119" s="55"/>
      <c r="T119" s="55"/>
      <c r="U119" s="55"/>
      <c r="V119" s="55"/>
      <c r="W119" s="55"/>
      <c r="X119" s="55"/>
      <c r="Y119" s="55">
        <f t="shared" si="10"/>
        <v>10000</v>
      </c>
      <c r="Z119">
        <f t="shared" si="11"/>
        <v>500</v>
      </c>
      <c r="AA119">
        <f t="shared" si="12"/>
        <v>0</v>
      </c>
      <c r="AB119">
        <f t="shared" si="13"/>
        <v>2500</v>
      </c>
      <c r="AC119">
        <f t="shared" si="14"/>
        <v>88</v>
      </c>
      <c r="AD119">
        <f t="shared" si="15"/>
        <v>0</v>
      </c>
      <c r="AE119">
        <f t="shared" si="16"/>
        <v>0</v>
      </c>
      <c r="AF119">
        <f t="shared" si="17"/>
        <v>0</v>
      </c>
      <c r="AG119">
        <f t="shared" si="18"/>
        <v>0</v>
      </c>
      <c r="AH119">
        <f t="shared" si="19"/>
        <v>0</v>
      </c>
    </row>
    <row r="120" spans="1:34" ht="15.5" x14ac:dyDescent="0.35">
      <c r="A120" s="45" t="s">
        <v>21</v>
      </c>
      <c r="B120" s="45">
        <v>2022</v>
      </c>
      <c r="C120" s="45" t="s">
        <v>43</v>
      </c>
      <c r="D120" s="45" t="s">
        <v>140</v>
      </c>
      <c r="E120" s="55"/>
      <c r="F120" s="59"/>
      <c r="G120" s="55">
        <v>1000</v>
      </c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61"/>
      <c r="U120" s="55"/>
      <c r="V120" s="55"/>
      <c r="W120" s="55"/>
      <c r="X120" s="55"/>
      <c r="Y120" s="55">
        <f t="shared" si="10"/>
        <v>0</v>
      </c>
      <c r="Z120">
        <f t="shared" si="11"/>
        <v>1000</v>
      </c>
      <c r="AA120">
        <f t="shared" si="12"/>
        <v>0</v>
      </c>
      <c r="AB120">
        <f t="shared" si="13"/>
        <v>0</v>
      </c>
      <c r="AC120">
        <f t="shared" si="14"/>
        <v>0</v>
      </c>
      <c r="AD120">
        <f t="shared" si="15"/>
        <v>0</v>
      </c>
      <c r="AE120">
        <f t="shared" si="16"/>
        <v>0</v>
      </c>
      <c r="AF120">
        <f t="shared" si="17"/>
        <v>0</v>
      </c>
      <c r="AG120">
        <f t="shared" si="18"/>
        <v>0</v>
      </c>
      <c r="AH120">
        <f t="shared" si="19"/>
        <v>0</v>
      </c>
    </row>
    <row r="121" spans="1:34" ht="15.5" x14ac:dyDescent="0.35">
      <c r="A121" s="45" t="s">
        <v>21</v>
      </c>
      <c r="B121" s="45">
        <v>2022</v>
      </c>
      <c r="C121" s="45" t="s">
        <v>43</v>
      </c>
      <c r="D121" s="45" t="s">
        <v>141</v>
      </c>
      <c r="E121" s="55"/>
      <c r="F121" s="55"/>
      <c r="G121" s="56"/>
      <c r="H121" s="55"/>
      <c r="I121" s="55">
        <v>12000</v>
      </c>
      <c r="J121" s="55">
        <v>2500</v>
      </c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>
        <v>2500</v>
      </c>
      <c r="Y121" s="55">
        <f t="shared" si="10"/>
        <v>0</v>
      </c>
      <c r="Z121">
        <f t="shared" si="11"/>
        <v>0</v>
      </c>
      <c r="AA121">
        <f t="shared" si="12"/>
        <v>14500</v>
      </c>
      <c r="AB121">
        <f t="shared" si="13"/>
        <v>0</v>
      </c>
      <c r="AC121">
        <f t="shared" si="14"/>
        <v>0</v>
      </c>
      <c r="AD121">
        <f t="shared" si="15"/>
        <v>0</v>
      </c>
      <c r="AE121">
        <f t="shared" si="16"/>
        <v>0</v>
      </c>
      <c r="AF121">
        <f t="shared" si="17"/>
        <v>0</v>
      </c>
      <c r="AG121">
        <f t="shared" si="18"/>
        <v>0</v>
      </c>
      <c r="AH121">
        <f t="shared" si="19"/>
        <v>2500</v>
      </c>
    </row>
    <row r="122" spans="1:34" ht="15.5" x14ac:dyDescent="0.35">
      <c r="A122" s="45" t="s">
        <v>21</v>
      </c>
      <c r="B122" s="45">
        <v>2022</v>
      </c>
      <c r="C122" s="45" t="s">
        <v>65</v>
      </c>
      <c r="D122" s="45" t="s">
        <v>69</v>
      </c>
      <c r="E122" s="55"/>
      <c r="F122" s="56">
        <v>8175</v>
      </c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6"/>
      <c r="R122" s="55"/>
      <c r="S122" s="57"/>
      <c r="T122" s="55"/>
      <c r="U122" s="59"/>
      <c r="V122" s="55">
        <v>50</v>
      </c>
      <c r="W122" s="55"/>
      <c r="X122" s="55"/>
      <c r="Y122" s="55">
        <f t="shared" si="10"/>
        <v>8175</v>
      </c>
      <c r="Z122">
        <f t="shared" si="11"/>
        <v>0</v>
      </c>
      <c r="AA122">
        <f t="shared" si="12"/>
        <v>0</v>
      </c>
      <c r="AB122">
        <f t="shared" si="13"/>
        <v>0</v>
      </c>
      <c r="AC122">
        <f t="shared" si="14"/>
        <v>0</v>
      </c>
      <c r="AD122">
        <f t="shared" si="15"/>
        <v>0</v>
      </c>
      <c r="AE122">
        <f t="shared" si="16"/>
        <v>0</v>
      </c>
      <c r="AF122">
        <f t="shared" si="17"/>
        <v>0</v>
      </c>
      <c r="AG122">
        <f t="shared" si="18"/>
        <v>50</v>
      </c>
      <c r="AH122">
        <f t="shared" si="19"/>
        <v>0</v>
      </c>
    </row>
    <row r="123" spans="1:34" ht="15.5" x14ac:dyDescent="0.35">
      <c r="A123" s="45" t="s">
        <v>21</v>
      </c>
      <c r="B123" s="45">
        <v>2022</v>
      </c>
      <c r="C123" s="45" t="s">
        <v>65</v>
      </c>
      <c r="D123" s="45" t="s">
        <v>142</v>
      </c>
      <c r="E123" s="55"/>
      <c r="F123" s="55"/>
      <c r="G123" s="55"/>
      <c r="H123" s="55">
        <v>600</v>
      </c>
      <c r="I123" s="55"/>
      <c r="J123" s="55"/>
      <c r="K123" s="55"/>
      <c r="L123" s="56"/>
      <c r="M123" s="55"/>
      <c r="N123" s="55"/>
      <c r="O123" s="55"/>
      <c r="P123" s="55"/>
      <c r="Q123" s="55"/>
      <c r="R123" s="55"/>
      <c r="S123" s="55"/>
      <c r="T123" s="55"/>
      <c r="U123" s="55">
        <v>1000</v>
      </c>
      <c r="V123" s="55"/>
      <c r="W123" s="56"/>
      <c r="X123" s="55"/>
      <c r="Y123" s="55">
        <f t="shared" si="10"/>
        <v>0</v>
      </c>
      <c r="Z123">
        <f t="shared" si="11"/>
        <v>600</v>
      </c>
      <c r="AA123">
        <f t="shared" si="12"/>
        <v>0</v>
      </c>
      <c r="AB123">
        <f t="shared" si="13"/>
        <v>0</v>
      </c>
      <c r="AC123">
        <f t="shared" si="14"/>
        <v>0</v>
      </c>
      <c r="AD123">
        <f t="shared" si="15"/>
        <v>0</v>
      </c>
      <c r="AE123">
        <f t="shared" si="16"/>
        <v>0</v>
      </c>
      <c r="AF123">
        <f t="shared" si="17"/>
        <v>0</v>
      </c>
      <c r="AG123">
        <f t="shared" si="18"/>
        <v>1000</v>
      </c>
      <c r="AH123">
        <f t="shared" si="19"/>
        <v>0</v>
      </c>
    </row>
    <row r="124" spans="1:34" ht="15.5" x14ac:dyDescent="0.35">
      <c r="A124" s="45" t="s">
        <v>22</v>
      </c>
      <c r="B124" s="45">
        <v>2016</v>
      </c>
      <c r="C124" s="45" t="s">
        <v>43</v>
      </c>
      <c r="D124" s="45" t="s">
        <v>44</v>
      </c>
      <c r="E124" s="55"/>
      <c r="F124" s="55"/>
      <c r="G124" s="55"/>
      <c r="H124" s="55"/>
      <c r="I124" s="55"/>
      <c r="J124" s="55">
        <v>208</v>
      </c>
      <c r="K124" s="55"/>
      <c r="L124" s="55"/>
      <c r="M124" s="55"/>
      <c r="N124" s="56"/>
      <c r="O124" s="55">
        <v>150</v>
      </c>
      <c r="P124" s="55"/>
      <c r="Q124" s="55"/>
      <c r="R124" s="55"/>
      <c r="S124" s="55"/>
      <c r="T124" s="55">
        <v>500</v>
      </c>
      <c r="U124" s="55"/>
      <c r="V124" s="55"/>
      <c r="W124" s="55"/>
      <c r="X124" s="55"/>
      <c r="Y124" s="55">
        <f t="shared" si="10"/>
        <v>0</v>
      </c>
      <c r="Z124">
        <f t="shared" si="11"/>
        <v>0</v>
      </c>
      <c r="AA124">
        <f t="shared" si="12"/>
        <v>208</v>
      </c>
      <c r="AB124">
        <f t="shared" si="13"/>
        <v>0</v>
      </c>
      <c r="AC124">
        <f t="shared" si="14"/>
        <v>0</v>
      </c>
      <c r="AD124">
        <f t="shared" si="15"/>
        <v>150</v>
      </c>
      <c r="AE124">
        <f t="shared" si="16"/>
        <v>0</v>
      </c>
      <c r="AF124">
        <f t="shared" si="17"/>
        <v>500</v>
      </c>
      <c r="AG124">
        <f t="shared" si="18"/>
        <v>0</v>
      </c>
      <c r="AH124">
        <f t="shared" si="19"/>
        <v>0</v>
      </c>
    </row>
    <row r="125" spans="1:34" x14ac:dyDescent="0.35">
      <c r="A125" s="45" t="s">
        <v>22</v>
      </c>
      <c r="B125" s="45">
        <v>2016</v>
      </c>
      <c r="C125" s="45" t="s">
        <v>43</v>
      </c>
      <c r="D125" s="45" t="s">
        <v>45</v>
      </c>
      <c r="E125" s="55"/>
      <c r="F125" s="55"/>
      <c r="G125" s="55"/>
      <c r="H125" s="55"/>
      <c r="I125" s="55"/>
      <c r="J125" s="55"/>
      <c r="K125" s="55">
        <v>510</v>
      </c>
      <c r="L125" s="55"/>
      <c r="M125" s="55"/>
      <c r="N125" s="55"/>
      <c r="O125" s="55"/>
      <c r="P125" s="55"/>
      <c r="Q125" s="55"/>
      <c r="R125" s="55"/>
      <c r="S125" s="55">
        <v>2500</v>
      </c>
      <c r="T125" s="55"/>
      <c r="U125" s="55"/>
      <c r="V125" s="55"/>
      <c r="W125" s="55"/>
      <c r="X125" s="55"/>
      <c r="Y125" s="55">
        <f t="shared" si="10"/>
        <v>0</v>
      </c>
      <c r="Z125">
        <f t="shared" si="11"/>
        <v>0</v>
      </c>
      <c r="AA125">
        <f t="shared" si="12"/>
        <v>0</v>
      </c>
      <c r="AB125">
        <f t="shared" si="13"/>
        <v>510</v>
      </c>
      <c r="AC125">
        <f t="shared" si="14"/>
        <v>0</v>
      </c>
      <c r="AD125">
        <f t="shared" si="15"/>
        <v>0</v>
      </c>
      <c r="AE125">
        <f t="shared" si="16"/>
        <v>0</v>
      </c>
      <c r="AF125">
        <f t="shared" si="17"/>
        <v>2500</v>
      </c>
      <c r="AG125">
        <f t="shared" si="18"/>
        <v>0</v>
      </c>
      <c r="AH125">
        <f t="shared" si="19"/>
        <v>0</v>
      </c>
    </row>
    <row r="126" spans="1:34" x14ac:dyDescent="0.35">
      <c r="A126" s="45" t="s">
        <v>22</v>
      </c>
      <c r="B126" s="45">
        <v>2916</v>
      </c>
      <c r="C126" s="45" t="s">
        <v>65</v>
      </c>
      <c r="D126" s="45" t="s">
        <v>44</v>
      </c>
      <c r="E126" s="55"/>
      <c r="F126" s="55">
        <v>1500</v>
      </c>
      <c r="G126" s="55"/>
      <c r="H126" s="55"/>
      <c r="I126" s="55"/>
      <c r="J126" s="55"/>
      <c r="K126" s="55"/>
      <c r="L126" s="55"/>
      <c r="M126" s="55"/>
      <c r="N126" s="55"/>
      <c r="O126" s="55"/>
      <c r="P126" s="55">
        <v>340</v>
      </c>
      <c r="Q126" s="55"/>
      <c r="R126" s="55">
        <v>300</v>
      </c>
      <c r="S126" s="55"/>
      <c r="T126" s="55"/>
      <c r="U126" s="55"/>
      <c r="V126" s="55"/>
      <c r="W126" s="55"/>
      <c r="X126" s="55"/>
      <c r="Y126" s="55">
        <f t="shared" si="10"/>
        <v>1500</v>
      </c>
      <c r="Z126">
        <f t="shared" si="11"/>
        <v>0</v>
      </c>
      <c r="AA126">
        <f t="shared" si="12"/>
        <v>0</v>
      </c>
      <c r="AB126">
        <f t="shared" si="13"/>
        <v>0</v>
      </c>
      <c r="AC126">
        <f t="shared" si="14"/>
        <v>0</v>
      </c>
      <c r="AD126">
        <f t="shared" si="15"/>
        <v>340</v>
      </c>
      <c r="AE126">
        <f t="shared" si="16"/>
        <v>300</v>
      </c>
      <c r="AF126">
        <f t="shared" si="17"/>
        <v>0</v>
      </c>
      <c r="AG126">
        <f t="shared" si="18"/>
        <v>0</v>
      </c>
      <c r="AH126">
        <f t="shared" si="19"/>
        <v>0</v>
      </c>
    </row>
    <row r="127" spans="1:34" x14ac:dyDescent="0.35">
      <c r="A127" s="45" t="s">
        <v>22</v>
      </c>
      <c r="B127" s="45">
        <v>2016</v>
      </c>
      <c r="C127" s="45" t="s">
        <v>65</v>
      </c>
      <c r="D127" s="45" t="s">
        <v>45</v>
      </c>
      <c r="E127" s="55">
        <v>2000</v>
      </c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>
        <v>150</v>
      </c>
      <c r="Y127" s="55">
        <f t="shared" si="10"/>
        <v>2000</v>
      </c>
      <c r="Z127">
        <f t="shared" si="11"/>
        <v>0</v>
      </c>
      <c r="AA127">
        <f t="shared" si="12"/>
        <v>0</v>
      </c>
      <c r="AB127">
        <f t="shared" si="13"/>
        <v>0</v>
      </c>
      <c r="AC127">
        <f t="shared" si="14"/>
        <v>0</v>
      </c>
      <c r="AD127">
        <f t="shared" si="15"/>
        <v>0</v>
      </c>
      <c r="AE127">
        <f t="shared" si="16"/>
        <v>0</v>
      </c>
      <c r="AF127">
        <f t="shared" si="17"/>
        <v>0</v>
      </c>
      <c r="AG127">
        <f t="shared" si="18"/>
        <v>0</v>
      </c>
      <c r="AH127">
        <f t="shared" si="19"/>
        <v>150</v>
      </c>
    </row>
    <row r="128" spans="1:34" x14ac:dyDescent="0.35">
      <c r="A128" s="45" t="s">
        <v>22</v>
      </c>
      <c r="B128" s="45">
        <v>2017</v>
      </c>
      <c r="C128" s="45" t="s">
        <v>43</v>
      </c>
      <c r="D128" s="45" t="s">
        <v>44</v>
      </c>
      <c r="E128" s="55">
        <v>1500</v>
      </c>
      <c r="F128" s="55"/>
      <c r="G128" s="55"/>
      <c r="H128" s="55"/>
      <c r="I128" s="55"/>
      <c r="J128" s="55"/>
      <c r="K128" s="55"/>
      <c r="L128" s="55"/>
      <c r="M128" s="55"/>
      <c r="N128" s="55">
        <v>50</v>
      </c>
      <c r="O128" s="55"/>
      <c r="P128" s="55"/>
      <c r="Q128" s="55"/>
      <c r="R128" s="55"/>
      <c r="S128" s="55"/>
      <c r="T128" s="55">
        <v>12000</v>
      </c>
      <c r="U128" s="55"/>
      <c r="V128" s="55"/>
      <c r="W128" s="55"/>
      <c r="X128" s="55"/>
      <c r="Y128" s="55">
        <f t="shared" si="10"/>
        <v>1500</v>
      </c>
      <c r="Z128">
        <f t="shared" si="11"/>
        <v>0</v>
      </c>
      <c r="AA128">
        <f t="shared" si="12"/>
        <v>0</v>
      </c>
      <c r="AB128">
        <f t="shared" si="13"/>
        <v>0</v>
      </c>
      <c r="AC128">
        <f t="shared" si="14"/>
        <v>50</v>
      </c>
      <c r="AD128">
        <f t="shared" si="15"/>
        <v>0</v>
      </c>
      <c r="AE128">
        <f t="shared" si="16"/>
        <v>0</v>
      </c>
      <c r="AF128">
        <f t="shared" si="17"/>
        <v>12000</v>
      </c>
      <c r="AG128">
        <f t="shared" si="18"/>
        <v>0</v>
      </c>
      <c r="AH128">
        <f t="shared" si="19"/>
        <v>0</v>
      </c>
    </row>
    <row r="129" spans="1:34" x14ac:dyDescent="0.35">
      <c r="A129" s="45" t="s">
        <v>22</v>
      </c>
      <c r="B129" s="45">
        <v>2017</v>
      </c>
      <c r="C129" s="45" t="s">
        <v>43</v>
      </c>
      <c r="D129" s="45" t="s">
        <v>45</v>
      </c>
      <c r="E129" s="55"/>
      <c r="F129" s="55">
        <v>2000</v>
      </c>
      <c r="G129" s="55"/>
      <c r="H129" s="55"/>
      <c r="I129" s="55"/>
      <c r="J129" s="55"/>
      <c r="K129" s="55">
        <v>2500</v>
      </c>
      <c r="L129" s="55"/>
      <c r="M129" s="55"/>
      <c r="N129" s="55"/>
      <c r="O129" s="55"/>
      <c r="P129" s="55"/>
      <c r="Q129" s="55"/>
      <c r="R129" s="55"/>
      <c r="S129" s="55"/>
      <c r="T129" s="55"/>
      <c r="U129" s="55">
        <v>2000</v>
      </c>
      <c r="V129" s="55"/>
      <c r="W129" s="55"/>
      <c r="X129" s="55"/>
      <c r="Y129" s="55">
        <f t="shared" si="10"/>
        <v>2000</v>
      </c>
      <c r="Z129">
        <f t="shared" si="11"/>
        <v>0</v>
      </c>
      <c r="AA129">
        <f t="shared" si="12"/>
        <v>0</v>
      </c>
      <c r="AB129">
        <f t="shared" si="13"/>
        <v>2500</v>
      </c>
      <c r="AC129">
        <f t="shared" si="14"/>
        <v>0</v>
      </c>
      <c r="AD129">
        <f t="shared" si="15"/>
        <v>0</v>
      </c>
      <c r="AE129">
        <f t="shared" si="16"/>
        <v>0</v>
      </c>
      <c r="AF129">
        <f t="shared" si="17"/>
        <v>0</v>
      </c>
      <c r="AG129">
        <f t="shared" si="18"/>
        <v>2000</v>
      </c>
      <c r="AH129">
        <f t="shared" si="19"/>
        <v>0</v>
      </c>
    </row>
    <row r="130" spans="1:34" x14ac:dyDescent="0.35">
      <c r="A130" s="45" t="s">
        <v>22</v>
      </c>
      <c r="B130" s="45">
        <v>2017</v>
      </c>
      <c r="C130" s="45" t="s">
        <v>65</v>
      </c>
      <c r="D130" s="45" t="s">
        <v>46</v>
      </c>
      <c r="E130" s="55">
        <v>300</v>
      </c>
      <c r="F130" s="55"/>
      <c r="G130" s="55"/>
      <c r="H130" s="55"/>
      <c r="I130" s="55">
        <v>700</v>
      </c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>
        <f t="shared" si="10"/>
        <v>300</v>
      </c>
      <c r="Z130">
        <f t="shared" si="11"/>
        <v>0</v>
      </c>
      <c r="AA130">
        <f t="shared" si="12"/>
        <v>700</v>
      </c>
      <c r="AB130">
        <f t="shared" si="13"/>
        <v>0</v>
      </c>
      <c r="AC130">
        <f t="shared" si="14"/>
        <v>0</v>
      </c>
      <c r="AD130">
        <f t="shared" si="15"/>
        <v>0</v>
      </c>
      <c r="AE130">
        <f t="shared" si="16"/>
        <v>0</v>
      </c>
      <c r="AF130">
        <f t="shared" si="17"/>
        <v>0</v>
      </c>
      <c r="AG130">
        <f t="shared" si="18"/>
        <v>0</v>
      </c>
      <c r="AH130">
        <f t="shared" si="19"/>
        <v>0</v>
      </c>
    </row>
    <row r="131" spans="1:34" ht="15.5" x14ac:dyDescent="0.35">
      <c r="A131" s="45" t="s">
        <v>22</v>
      </c>
      <c r="B131" s="45">
        <v>2018</v>
      </c>
      <c r="C131" s="45" t="s">
        <v>65</v>
      </c>
      <c r="D131" s="45" t="s">
        <v>46</v>
      </c>
      <c r="E131" s="55"/>
      <c r="F131" s="55"/>
      <c r="G131" s="55"/>
      <c r="H131" s="55">
        <v>1000</v>
      </c>
      <c r="I131" s="55"/>
      <c r="J131" s="55"/>
      <c r="K131" s="55">
        <v>88</v>
      </c>
      <c r="L131" s="55"/>
      <c r="M131" s="55"/>
      <c r="N131" s="61"/>
      <c r="O131" s="55"/>
      <c r="P131" s="55"/>
      <c r="Q131" s="61"/>
      <c r="R131" s="55"/>
      <c r="S131" s="55"/>
      <c r="T131" s="61"/>
      <c r="U131" s="55"/>
      <c r="V131" s="55"/>
      <c r="W131" s="55">
        <v>1000</v>
      </c>
      <c r="X131" s="55"/>
      <c r="Y131" s="55">
        <f t="shared" si="10"/>
        <v>0</v>
      </c>
      <c r="Z131">
        <f t="shared" si="11"/>
        <v>1000</v>
      </c>
      <c r="AA131">
        <f t="shared" si="12"/>
        <v>0</v>
      </c>
      <c r="AB131">
        <f t="shared" si="13"/>
        <v>88</v>
      </c>
      <c r="AC131">
        <f t="shared" si="14"/>
        <v>0</v>
      </c>
      <c r="AD131">
        <f t="shared" si="15"/>
        <v>0</v>
      </c>
      <c r="AE131">
        <f t="shared" si="16"/>
        <v>0</v>
      </c>
      <c r="AF131">
        <f t="shared" si="17"/>
        <v>0</v>
      </c>
      <c r="AG131">
        <f t="shared" si="18"/>
        <v>0</v>
      </c>
      <c r="AH131">
        <f t="shared" si="19"/>
        <v>1000</v>
      </c>
    </row>
    <row r="132" spans="1:34" ht="15.5" x14ac:dyDescent="0.35">
      <c r="A132" s="45" t="s">
        <v>22</v>
      </c>
      <c r="B132" s="45">
        <v>2018</v>
      </c>
      <c r="C132" s="45" t="s">
        <v>43</v>
      </c>
      <c r="D132" s="45" t="s">
        <v>139</v>
      </c>
      <c r="E132" s="55">
        <v>50</v>
      </c>
      <c r="F132" s="55"/>
      <c r="G132" s="59"/>
      <c r="H132" s="55"/>
      <c r="I132" s="55"/>
      <c r="J132" s="55">
        <v>2500</v>
      </c>
      <c r="K132" s="55"/>
      <c r="L132" s="55"/>
      <c r="M132" s="55"/>
      <c r="N132" s="55"/>
      <c r="O132" s="55"/>
      <c r="P132" s="55"/>
      <c r="Q132" s="55">
        <v>500</v>
      </c>
      <c r="R132" s="55"/>
      <c r="S132" s="55"/>
      <c r="T132" s="55"/>
      <c r="U132" s="55"/>
      <c r="V132" s="59"/>
      <c r="W132" s="55"/>
      <c r="X132" s="55"/>
      <c r="Y132" s="55">
        <f t="shared" si="10"/>
        <v>50</v>
      </c>
      <c r="Z132">
        <f t="shared" si="11"/>
        <v>0</v>
      </c>
      <c r="AA132">
        <f t="shared" si="12"/>
        <v>2500</v>
      </c>
      <c r="AB132">
        <f t="shared" si="13"/>
        <v>0</v>
      </c>
      <c r="AC132">
        <f t="shared" si="14"/>
        <v>0</v>
      </c>
      <c r="AD132">
        <f t="shared" si="15"/>
        <v>0</v>
      </c>
      <c r="AE132">
        <f t="shared" si="16"/>
        <v>500</v>
      </c>
      <c r="AF132">
        <f t="shared" si="17"/>
        <v>0</v>
      </c>
      <c r="AG132">
        <f t="shared" si="18"/>
        <v>0</v>
      </c>
      <c r="AH132">
        <f t="shared" si="19"/>
        <v>0</v>
      </c>
    </row>
    <row r="133" spans="1:34" x14ac:dyDescent="0.35">
      <c r="A133" s="45" t="s">
        <v>22</v>
      </c>
      <c r="B133" s="45">
        <v>2018</v>
      </c>
      <c r="C133" s="45" t="s">
        <v>43</v>
      </c>
      <c r="D133" s="45" t="s">
        <v>139</v>
      </c>
      <c r="E133" s="55"/>
      <c r="F133" s="55"/>
      <c r="G133" s="55"/>
      <c r="H133" s="55"/>
      <c r="I133" s="55">
        <v>300</v>
      </c>
      <c r="J133" s="55"/>
      <c r="K133" s="55"/>
      <c r="L133" s="55"/>
      <c r="M133" s="55"/>
      <c r="N133" s="55"/>
      <c r="O133" s="55"/>
      <c r="P133" s="55">
        <v>2500</v>
      </c>
      <c r="Q133" s="55"/>
      <c r="R133" s="55"/>
      <c r="S133" s="55"/>
      <c r="T133" s="55"/>
      <c r="U133" s="55"/>
      <c r="V133" s="55"/>
      <c r="W133" s="55"/>
      <c r="X133" s="55"/>
      <c r="Y133" s="55">
        <f t="shared" ref="Y133:Y196" si="20">SUM(E133:F133)</f>
        <v>0</v>
      </c>
      <c r="Z133">
        <f t="shared" ref="Z133:Z196" si="21">SUM(G133:H133)</f>
        <v>0</v>
      </c>
      <c r="AA133">
        <f t="shared" ref="AA133:AA196" si="22">SUM(I133:J133)</f>
        <v>300</v>
      </c>
      <c r="AB133">
        <f t="shared" ref="AB133:AB196" si="23">SUM(K133:L133)</f>
        <v>0</v>
      </c>
      <c r="AC133">
        <f t="shared" ref="AC133:AC196" si="24">SUM(M133:N133)</f>
        <v>0</v>
      </c>
      <c r="AD133">
        <f t="shared" ref="AD133:AD196" si="25">SUM(O133:P133)</f>
        <v>2500</v>
      </c>
      <c r="AE133">
        <f t="shared" ref="AE133:AE196" si="26">SUM(Q133:R133)</f>
        <v>0</v>
      </c>
      <c r="AF133">
        <f t="shared" ref="AF133:AF196" si="27">SUM(S133:T133)</f>
        <v>0</v>
      </c>
      <c r="AG133">
        <f t="shared" ref="AG133:AG196" si="28">SUM(U133:V133)</f>
        <v>0</v>
      </c>
      <c r="AH133">
        <f t="shared" ref="AH133:AH196" si="29">SUM(W133:X133)</f>
        <v>0</v>
      </c>
    </row>
    <row r="134" spans="1:34" x14ac:dyDescent="0.35">
      <c r="A134" s="45" t="s">
        <v>22</v>
      </c>
      <c r="B134" s="45">
        <v>2018</v>
      </c>
      <c r="C134" s="45" t="s">
        <v>65</v>
      </c>
      <c r="D134" s="45" t="s">
        <v>69</v>
      </c>
      <c r="E134" s="55"/>
      <c r="F134" s="55"/>
      <c r="G134" s="55"/>
      <c r="H134" s="55"/>
      <c r="I134" s="55"/>
      <c r="J134" s="55"/>
      <c r="K134" s="55"/>
      <c r="L134" s="55"/>
      <c r="M134" s="55">
        <v>1000</v>
      </c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>
        <f t="shared" si="20"/>
        <v>0</v>
      </c>
      <c r="Z134">
        <f t="shared" si="21"/>
        <v>0</v>
      </c>
      <c r="AA134">
        <f t="shared" si="22"/>
        <v>0</v>
      </c>
      <c r="AB134">
        <f t="shared" si="23"/>
        <v>0</v>
      </c>
      <c r="AC134">
        <f t="shared" si="24"/>
        <v>1000</v>
      </c>
      <c r="AD134">
        <f t="shared" si="25"/>
        <v>0</v>
      </c>
      <c r="AE134">
        <f t="shared" si="26"/>
        <v>0</v>
      </c>
      <c r="AF134">
        <f t="shared" si="27"/>
        <v>0</v>
      </c>
      <c r="AG134">
        <f t="shared" si="28"/>
        <v>0</v>
      </c>
      <c r="AH134">
        <f t="shared" si="29"/>
        <v>0</v>
      </c>
    </row>
    <row r="135" spans="1:34" ht="15.5" x14ac:dyDescent="0.35">
      <c r="A135" s="45" t="s">
        <v>22</v>
      </c>
      <c r="B135" s="45">
        <v>2018</v>
      </c>
      <c r="C135" s="45" t="s">
        <v>65</v>
      </c>
      <c r="D135" s="45" t="s">
        <v>140</v>
      </c>
      <c r="E135" s="55"/>
      <c r="F135" s="55"/>
      <c r="G135" s="55"/>
      <c r="H135" s="55"/>
      <c r="I135" s="55">
        <v>2000</v>
      </c>
      <c r="J135" s="55"/>
      <c r="K135" s="55"/>
      <c r="L135" s="55"/>
      <c r="M135" s="55"/>
      <c r="N135" s="55"/>
      <c r="O135" s="55"/>
      <c r="P135" s="55"/>
      <c r="Q135" s="55"/>
      <c r="R135" s="55"/>
      <c r="S135" s="61"/>
      <c r="T135" s="55">
        <v>2500</v>
      </c>
      <c r="U135" s="55"/>
      <c r="V135" s="61"/>
      <c r="W135" s="55"/>
      <c r="X135" s="55"/>
      <c r="Y135" s="55">
        <f t="shared" si="20"/>
        <v>0</v>
      </c>
      <c r="Z135">
        <f t="shared" si="21"/>
        <v>0</v>
      </c>
      <c r="AA135">
        <f t="shared" si="22"/>
        <v>2000</v>
      </c>
      <c r="AB135">
        <f t="shared" si="23"/>
        <v>0</v>
      </c>
      <c r="AC135">
        <f t="shared" si="24"/>
        <v>0</v>
      </c>
      <c r="AD135">
        <f t="shared" si="25"/>
        <v>0</v>
      </c>
      <c r="AE135">
        <f t="shared" si="26"/>
        <v>0</v>
      </c>
      <c r="AF135">
        <f t="shared" si="27"/>
        <v>2500</v>
      </c>
      <c r="AG135">
        <f t="shared" si="28"/>
        <v>0</v>
      </c>
      <c r="AH135">
        <f t="shared" si="29"/>
        <v>0</v>
      </c>
    </row>
    <row r="136" spans="1:34" x14ac:dyDescent="0.35">
      <c r="A136" s="45" t="s">
        <v>22</v>
      </c>
      <c r="B136" s="45">
        <v>2019</v>
      </c>
      <c r="C136" s="45" t="s">
        <v>43</v>
      </c>
      <c r="D136" s="45" t="s">
        <v>141</v>
      </c>
      <c r="E136" s="55"/>
      <c r="F136" s="55"/>
      <c r="G136" s="55"/>
      <c r="H136" s="55">
        <v>300</v>
      </c>
      <c r="I136" s="55"/>
      <c r="J136" s="55"/>
      <c r="K136" s="55"/>
      <c r="L136" s="55">
        <v>700</v>
      </c>
      <c r="M136" s="55"/>
      <c r="N136" s="55"/>
      <c r="O136" s="55"/>
      <c r="P136" s="55"/>
      <c r="Q136" s="55"/>
      <c r="R136" s="55">
        <v>2500</v>
      </c>
      <c r="S136" s="55"/>
      <c r="T136" s="55"/>
      <c r="U136" s="55"/>
      <c r="V136" s="55"/>
      <c r="W136" s="55"/>
      <c r="X136" s="55"/>
      <c r="Y136" s="55">
        <f t="shared" si="20"/>
        <v>0</v>
      </c>
      <c r="Z136">
        <f t="shared" si="21"/>
        <v>300</v>
      </c>
      <c r="AA136">
        <f t="shared" si="22"/>
        <v>0</v>
      </c>
      <c r="AB136">
        <f t="shared" si="23"/>
        <v>700</v>
      </c>
      <c r="AC136">
        <f t="shared" si="24"/>
        <v>0</v>
      </c>
      <c r="AD136">
        <f t="shared" si="25"/>
        <v>0</v>
      </c>
      <c r="AE136">
        <f t="shared" si="26"/>
        <v>2500</v>
      </c>
      <c r="AF136">
        <f t="shared" si="27"/>
        <v>0</v>
      </c>
      <c r="AG136">
        <f t="shared" si="28"/>
        <v>0</v>
      </c>
      <c r="AH136">
        <f t="shared" si="29"/>
        <v>0</v>
      </c>
    </row>
    <row r="137" spans="1:34" ht="15.5" x14ac:dyDescent="0.35">
      <c r="A137" s="45" t="s">
        <v>22</v>
      </c>
      <c r="B137" s="45">
        <v>2019</v>
      </c>
      <c r="C137" s="45" t="s">
        <v>43</v>
      </c>
      <c r="D137" s="45" t="s">
        <v>69</v>
      </c>
      <c r="E137" s="55"/>
      <c r="F137" s="55"/>
      <c r="G137" s="55"/>
      <c r="H137" s="55"/>
      <c r="I137" s="55"/>
      <c r="J137" s="55"/>
      <c r="K137" s="55">
        <v>1000</v>
      </c>
      <c r="L137" s="55"/>
      <c r="M137" s="55"/>
      <c r="N137" s="55"/>
      <c r="O137" s="60"/>
      <c r="P137" s="55"/>
      <c r="Q137" s="55"/>
      <c r="R137" s="55"/>
      <c r="S137" s="55"/>
      <c r="T137" s="61"/>
      <c r="U137" s="55"/>
      <c r="V137" s="55"/>
      <c r="W137" s="61"/>
      <c r="X137" s="55"/>
      <c r="Y137" s="55">
        <f t="shared" si="20"/>
        <v>0</v>
      </c>
      <c r="Z137">
        <f t="shared" si="21"/>
        <v>0</v>
      </c>
      <c r="AA137">
        <f t="shared" si="22"/>
        <v>0</v>
      </c>
      <c r="AB137">
        <f t="shared" si="23"/>
        <v>1000</v>
      </c>
      <c r="AC137">
        <f t="shared" si="24"/>
        <v>0</v>
      </c>
      <c r="AD137">
        <f t="shared" si="25"/>
        <v>0</v>
      </c>
      <c r="AE137">
        <f t="shared" si="26"/>
        <v>0</v>
      </c>
      <c r="AF137">
        <f t="shared" si="27"/>
        <v>0</v>
      </c>
      <c r="AG137">
        <f t="shared" si="28"/>
        <v>0</v>
      </c>
      <c r="AH137">
        <f t="shared" si="29"/>
        <v>0</v>
      </c>
    </row>
    <row r="138" spans="1:34" x14ac:dyDescent="0.35">
      <c r="A138" s="45" t="s">
        <v>22</v>
      </c>
      <c r="B138" s="45">
        <v>2019</v>
      </c>
      <c r="C138" s="45" t="s">
        <v>65</v>
      </c>
      <c r="D138" s="45" t="s">
        <v>142</v>
      </c>
      <c r="E138" s="55">
        <v>10000</v>
      </c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>
        <v>300</v>
      </c>
      <c r="V138" s="55"/>
      <c r="W138" s="55"/>
      <c r="X138" s="55"/>
      <c r="Y138" s="55">
        <f t="shared" si="20"/>
        <v>10000</v>
      </c>
      <c r="Z138">
        <f t="shared" si="21"/>
        <v>0</v>
      </c>
      <c r="AA138">
        <f t="shared" si="22"/>
        <v>0</v>
      </c>
      <c r="AB138">
        <f t="shared" si="23"/>
        <v>0</v>
      </c>
      <c r="AC138">
        <f t="shared" si="24"/>
        <v>0</v>
      </c>
      <c r="AD138">
        <f t="shared" si="25"/>
        <v>0</v>
      </c>
      <c r="AE138">
        <f t="shared" si="26"/>
        <v>0</v>
      </c>
      <c r="AF138">
        <f t="shared" si="27"/>
        <v>0</v>
      </c>
      <c r="AG138">
        <f t="shared" si="28"/>
        <v>300</v>
      </c>
      <c r="AH138">
        <f t="shared" si="29"/>
        <v>0</v>
      </c>
    </row>
    <row r="139" spans="1:34" ht="15.5" x14ac:dyDescent="0.35">
      <c r="A139" s="45" t="s">
        <v>22</v>
      </c>
      <c r="B139" s="45">
        <v>2019</v>
      </c>
      <c r="C139" s="45" t="s">
        <v>65</v>
      </c>
      <c r="D139" s="45" t="s">
        <v>44</v>
      </c>
      <c r="E139" s="55"/>
      <c r="F139" s="55">
        <v>700</v>
      </c>
      <c r="G139" s="55"/>
      <c r="H139" s="55"/>
      <c r="I139" s="55"/>
      <c r="J139" s="55"/>
      <c r="K139" s="55"/>
      <c r="L139" s="59"/>
      <c r="M139" s="55">
        <v>50</v>
      </c>
      <c r="N139" s="55"/>
      <c r="O139" s="55"/>
      <c r="P139" s="55"/>
      <c r="Q139" s="55">
        <v>10000</v>
      </c>
      <c r="R139" s="55"/>
      <c r="S139" s="55"/>
      <c r="T139" s="55"/>
      <c r="U139" s="55"/>
      <c r="V139" s="55"/>
      <c r="W139" s="55">
        <v>20</v>
      </c>
      <c r="X139" s="55"/>
      <c r="Y139" s="55">
        <f t="shared" si="20"/>
        <v>700</v>
      </c>
      <c r="Z139">
        <f t="shared" si="21"/>
        <v>0</v>
      </c>
      <c r="AA139">
        <f t="shared" si="22"/>
        <v>0</v>
      </c>
      <c r="AB139">
        <f t="shared" si="23"/>
        <v>0</v>
      </c>
      <c r="AC139">
        <f t="shared" si="24"/>
        <v>50</v>
      </c>
      <c r="AD139">
        <f t="shared" si="25"/>
        <v>0</v>
      </c>
      <c r="AE139">
        <f t="shared" si="26"/>
        <v>10000</v>
      </c>
      <c r="AF139">
        <f t="shared" si="27"/>
        <v>0</v>
      </c>
      <c r="AG139">
        <f t="shared" si="28"/>
        <v>0</v>
      </c>
      <c r="AH139">
        <f t="shared" si="29"/>
        <v>20</v>
      </c>
    </row>
    <row r="140" spans="1:34" ht="15.5" x14ac:dyDescent="0.35">
      <c r="A140" s="45" t="s">
        <v>22</v>
      </c>
      <c r="B140" s="45">
        <v>2019</v>
      </c>
      <c r="C140" s="45" t="s">
        <v>43</v>
      </c>
      <c r="D140" s="45" t="s">
        <v>45</v>
      </c>
      <c r="E140" s="55"/>
      <c r="F140" s="55"/>
      <c r="G140" s="55"/>
      <c r="H140" s="55"/>
      <c r="I140" s="55"/>
      <c r="J140" s="55"/>
      <c r="K140" s="55"/>
      <c r="L140" s="55"/>
      <c r="M140" s="55"/>
      <c r="N140" s="55">
        <v>50</v>
      </c>
      <c r="O140" s="55"/>
      <c r="P140" s="55"/>
      <c r="Q140" s="55"/>
      <c r="R140" s="55"/>
      <c r="S140" s="55"/>
      <c r="T140" s="56"/>
      <c r="U140" s="55"/>
      <c r="V140" s="55"/>
      <c r="W140" s="55"/>
      <c r="X140" s="55">
        <v>300</v>
      </c>
      <c r="Y140" s="55">
        <f t="shared" si="20"/>
        <v>0</v>
      </c>
      <c r="Z140">
        <f t="shared" si="21"/>
        <v>0</v>
      </c>
      <c r="AA140">
        <f t="shared" si="22"/>
        <v>0</v>
      </c>
      <c r="AB140">
        <f t="shared" si="23"/>
        <v>0</v>
      </c>
      <c r="AC140">
        <f t="shared" si="24"/>
        <v>50</v>
      </c>
      <c r="AD140">
        <f t="shared" si="25"/>
        <v>0</v>
      </c>
      <c r="AE140">
        <f t="shared" si="26"/>
        <v>0</v>
      </c>
      <c r="AF140">
        <f t="shared" si="27"/>
        <v>0</v>
      </c>
      <c r="AG140">
        <f t="shared" si="28"/>
        <v>0</v>
      </c>
      <c r="AH140">
        <f t="shared" si="29"/>
        <v>300</v>
      </c>
    </row>
    <row r="141" spans="1:34" ht="15.5" x14ac:dyDescent="0.35">
      <c r="A141" s="45" t="s">
        <v>22</v>
      </c>
      <c r="B141" s="45">
        <v>2019</v>
      </c>
      <c r="C141" s="45" t="s">
        <v>43</v>
      </c>
      <c r="D141" s="45" t="s">
        <v>44</v>
      </c>
      <c r="E141" s="55"/>
      <c r="F141" s="55"/>
      <c r="G141" s="55">
        <v>10000</v>
      </c>
      <c r="H141" s="55"/>
      <c r="I141" s="55"/>
      <c r="J141" s="55"/>
      <c r="K141" s="55"/>
      <c r="L141" s="55"/>
      <c r="M141" s="55"/>
      <c r="N141" s="55"/>
      <c r="O141" s="56"/>
      <c r="P141" s="55"/>
      <c r="Q141" s="55"/>
      <c r="R141" s="55"/>
      <c r="S141" s="55"/>
      <c r="T141" s="55"/>
      <c r="U141" s="55"/>
      <c r="V141" s="55"/>
      <c r="W141" s="55">
        <v>2500</v>
      </c>
      <c r="X141" s="55"/>
      <c r="Y141" s="55">
        <f t="shared" si="20"/>
        <v>0</v>
      </c>
      <c r="Z141">
        <f t="shared" si="21"/>
        <v>10000</v>
      </c>
      <c r="AA141">
        <f t="shared" si="22"/>
        <v>0</v>
      </c>
      <c r="AB141">
        <f t="shared" si="23"/>
        <v>0</v>
      </c>
      <c r="AC141">
        <f t="shared" si="24"/>
        <v>0</v>
      </c>
      <c r="AD141">
        <f t="shared" si="25"/>
        <v>0</v>
      </c>
      <c r="AE141">
        <f t="shared" si="26"/>
        <v>0</v>
      </c>
      <c r="AF141">
        <f t="shared" si="27"/>
        <v>0</v>
      </c>
      <c r="AG141">
        <f t="shared" si="28"/>
        <v>0</v>
      </c>
      <c r="AH141">
        <f t="shared" si="29"/>
        <v>2500</v>
      </c>
    </row>
    <row r="142" spans="1:34" ht="15.5" x14ac:dyDescent="0.35">
      <c r="A142" s="45" t="s">
        <v>22</v>
      </c>
      <c r="B142" s="45">
        <v>2019</v>
      </c>
      <c r="C142" s="45" t="s">
        <v>65</v>
      </c>
      <c r="D142" s="45" t="s">
        <v>45</v>
      </c>
      <c r="E142" s="55"/>
      <c r="F142" s="57"/>
      <c r="G142" s="55"/>
      <c r="H142" s="59"/>
      <c r="I142" s="55"/>
      <c r="J142" s="55"/>
      <c r="K142" s="55"/>
      <c r="L142" s="60"/>
      <c r="M142" s="55"/>
      <c r="N142" s="55"/>
      <c r="O142" s="55"/>
      <c r="P142" s="55"/>
      <c r="Q142" s="55"/>
      <c r="R142" s="55"/>
      <c r="S142" s="55">
        <v>300</v>
      </c>
      <c r="T142" s="58"/>
      <c r="U142" s="55"/>
      <c r="V142" s="55">
        <v>500</v>
      </c>
      <c r="W142" s="55"/>
      <c r="X142" s="55"/>
      <c r="Y142" s="55">
        <f t="shared" si="20"/>
        <v>0</v>
      </c>
      <c r="Z142">
        <f t="shared" si="21"/>
        <v>0</v>
      </c>
      <c r="AA142">
        <f t="shared" si="22"/>
        <v>0</v>
      </c>
      <c r="AB142">
        <f t="shared" si="23"/>
        <v>0</v>
      </c>
      <c r="AC142">
        <f t="shared" si="24"/>
        <v>0</v>
      </c>
      <c r="AD142">
        <f t="shared" si="25"/>
        <v>0</v>
      </c>
      <c r="AE142">
        <f t="shared" si="26"/>
        <v>0</v>
      </c>
      <c r="AF142">
        <f t="shared" si="27"/>
        <v>300</v>
      </c>
      <c r="AG142">
        <f t="shared" si="28"/>
        <v>500</v>
      </c>
      <c r="AH142">
        <f t="shared" si="29"/>
        <v>0</v>
      </c>
    </row>
    <row r="143" spans="1:34" ht="15.5" x14ac:dyDescent="0.35">
      <c r="A143" s="45" t="s">
        <v>22</v>
      </c>
      <c r="B143" s="45">
        <v>2019</v>
      </c>
      <c r="C143" s="45" t="s">
        <v>65</v>
      </c>
      <c r="D143" s="45" t="s">
        <v>44</v>
      </c>
      <c r="E143" s="55"/>
      <c r="F143" s="55"/>
      <c r="G143" s="55"/>
      <c r="H143" s="55">
        <v>1000</v>
      </c>
      <c r="I143" s="56"/>
      <c r="J143" s="55"/>
      <c r="K143" s="55"/>
      <c r="L143" s="55"/>
      <c r="M143" s="55"/>
      <c r="N143" s="55"/>
      <c r="O143" s="57"/>
      <c r="P143" s="55"/>
      <c r="Q143" s="55"/>
      <c r="R143" s="55">
        <v>2500</v>
      </c>
      <c r="S143" s="55"/>
      <c r="T143" s="55">
        <v>200</v>
      </c>
      <c r="U143" s="55">
        <v>1000</v>
      </c>
      <c r="V143" s="55"/>
      <c r="W143" s="55"/>
      <c r="X143" s="55"/>
      <c r="Y143" s="55">
        <f t="shared" si="20"/>
        <v>0</v>
      </c>
      <c r="Z143">
        <f t="shared" si="21"/>
        <v>1000</v>
      </c>
      <c r="AA143">
        <f t="shared" si="22"/>
        <v>0</v>
      </c>
      <c r="AB143">
        <f t="shared" si="23"/>
        <v>0</v>
      </c>
      <c r="AC143">
        <f t="shared" si="24"/>
        <v>0</v>
      </c>
      <c r="AD143">
        <f t="shared" si="25"/>
        <v>0</v>
      </c>
      <c r="AE143">
        <f t="shared" si="26"/>
        <v>2500</v>
      </c>
      <c r="AF143">
        <f t="shared" si="27"/>
        <v>200</v>
      </c>
      <c r="AG143">
        <f t="shared" si="28"/>
        <v>1000</v>
      </c>
      <c r="AH143">
        <f t="shared" si="29"/>
        <v>0</v>
      </c>
    </row>
    <row r="144" spans="1:34" x14ac:dyDescent="0.35">
      <c r="A144" s="45" t="s">
        <v>22</v>
      </c>
      <c r="B144" s="45">
        <v>2020</v>
      </c>
      <c r="C144" s="45" t="s">
        <v>43</v>
      </c>
      <c r="D144" s="45" t="s">
        <v>45</v>
      </c>
      <c r="E144" s="55"/>
      <c r="F144" s="55"/>
      <c r="G144" s="55">
        <v>500</v>
      </c>
      <c r="H144" s="55"/>
      <c r="I144" s="55"/>
      <c r="J144" s="55"/>
      <c r="K144" s="55"/>
      <c r="L144" s="55"/>
      <c r="M144" s="55"/>
      <c r="N144" s="55">
        <v>10000</v>
      </c>
      <c r="O144" s="55"/>
      <c r="P144" s="55"/>
      <c r="Q144" s="55">
        <v>500</v>
      </c>
      <c r="R144" s="55"/>
      <c r="S144" s="55"/>
      <c r="T144" s="55"/>
      <c r="U144" s="55"/>
      <c r="V144" s="55"/>
      <c r="W144" s="55"/>
      <c r="X144" s="55"/>
      <c r="Y144" s="55">
        <f t="shared" si="20"/>
        <v>0</v>
      </c>
      <c r="Z144">
        <f t="shared" si="21"/>
        <v>500</v>
      </c>
      <c r="AA144">
        <f t="shared" si="22"/>
        <v>0</v>
      </c>
      <c r="AB144">
        <f t="shared" si="23"/>
        <v>0</v>
      </c>
      <c r="AC144">
        <f t="shared" si="24"/>
        <v>10000</v>
      </c>
      <c r="AD144">
        <f t="shared" si="25"/>
        <v>0</v>
      </c>
      <c r="AE144">
        <f t="shared" si="26"/>
        <v>500</v>
      </c>
      <c r="AF144">
        <f t="shared" si="27"/>
        <v>0</v>
      </c>
      <c r="AG144">
        <f t="shared" si="28"/>
        <v>0</v>
      </c>
      <c r="AH144">
        <f t="shared" si="29"/>
        <v>0</v>
      </c>
    </row>
    <row r="145" spans="1:34" ht="15.5" x14ac:dyDescent="0.35">
      <c r="A145" s="45" t="s">
        <v>22</v>
      </c>
      <c r="B145" s="45">
        <v>2020</v>
      </c>
      <c r="C145" s="45" t="s">
        <v>43</v>
      </c>
      <c r="D145" s="45" t="s">
        <v>46</v>
      </c>
      <c r="E145" s="55"/>
      <c r="F145" s="55">
        <v>2500</v>
      </c>
      <c r="G145" s="55"/>
      <c r="H145" s="55"/>
      <c r="I145" s="55">
        <v>12000</v>
      </c>
      <c r="J145" s="55"/>
      <c r="K145" s="55">
        <v>2500</v>
      </c>
      <c r="L145" s="55"/>
      <c r="M145" s="55"/>
      <c r="N145" s="55"/>
      <c r="O145" s="59"/>
      <c r="P145" s="55">
        <v>1000</v>
      </c>
      <c r="Q145" s="55"/>
      <c r="R145" s="55"/>
      <c r="S145" s="55"/>
      <c r="T145" s="55"/>
      <c r="U145" s="55"/>
      <c r="V145" s="55"/>
      <c r="W145" s="55"/>
      <c r="X145" s="55"/>
      <c r="Y145" s="55">
        <f t="shared" si="20"/>
        <v>2500</v>
      </c>
      <c r="Z145">
        <f t="shared" si="21"/>
        <v>0</v>
      </c>
      <c r="AA145">
        <f t="shared" si="22"/>
        <v>12000</v>
      </c>
      <c r="AB145">
        <f t="shared" si="23"/>
        <v>2500</v>
      </c>
      <c r="AC145">
        <f t="shared" si="24"/>
        <v>0</v>
      </c>
      <c r="AD145">
        <f t="shared" si="25"/>
        <v>1000</v>
      </c>
      <c r="AE145">
        <f t="shared" si="26"/>
        <v>0</v>
      </c>
      <c r="AF145">
        <f t="shared" si="27"/>
        <v>0</v>
      </c>
      <c r="AG145">
        <f t="shared" si="28"/>
        <v>0</v>
      </c>
      <c r="AH145">
        <f t="shared" si="29"/>
        <v>0</v>
      </c>
    </row>
    <row r="146" spans="1:34" ht="15.5" x14ac:dyDescent="0.35">
      <c r="A146" s="45" t="s">
        <v>22</v>
      </c>
      <c r="B146" s="45">
        <v>2020</v>
      </c>
      <c r="C146" s="45" t="s">
        <v>65</v>
      </c>
      <c r="D146" s="45" t="s">
        <v>46</v>
      </c>
      <c r="E146" s="55">
        <v>300</v>
      </c>
      <c r="F146" s="55"/>
      <c r="G146" s="55"/>
      <c r="H146" s="55"/>
      <c r="I146" s="55">
        <v>2500</v>
      </c>
      <c r="J146" s="55">
        <v>500</v>
      </c>
      <c r="K146" s="55"/>
      <c r="L146" s="55"/>
      <c r="M146" s="55"/>
      <c r="N146" s="55"/>
      <c r="O146" s="55">
        <v>50</v>
      </c>
      <c r="P146" s="55"/>
      <c r="Q146" s="55"/>
      <c r="R146" s="55"/>
      <c r="S146" s="55"/>
      <c r="T146" s="55"/>
      <c r="U146" s="55"/>
      <c r="V146" s="55"/>
      <c r="W146" s="55"/>
      <c r="X146" s="56"/>
      <c r="Y146" s="55">
        <f t="shared" si="20"/>
        <v>300</v>
      </c>
      <c r="Z146">
        <f t="shared" si="21"/>
        <v>0</v>
      </c>
      <c r="AA146">
        <f t="shared" si="22"/>
        <v>3000</v>
      </c>
      <c r="AB146">
        <f t="shared" si="23"/>
        <v>0</v>
      </c>
      <c r="AC146">
        <f t="shared" si="24"/>
        <v>0</v>
      </c>
      <c r="AD146">
        <f t="shared" si="25"/>
        <v>50</v>
      </c>
      <c r="AE146">
        <f t="shared" si="26"/>
        <v>0</v>
      </c>
      <c r="AF146">
        <f t="shared" si="27"/>
        <v>0</v>
      </c>
      <c r="AG146">
        <f t="shared" si="28"/>
        <v>0</v>
      </c>
      <c r="AH146">
        <f t="shared" si="29"/>
        <v>0</v>
      </c>
    </row>
    <row r="147" spans="1:34" x14ac:dyDescent="0.35">
      <c r="A147" s="45" t="s">
        <v>22</v>
      </c>
      <c r="B147" s="45">
        <v>2020</v>
      </c>
      <c r="C147" s="45" t="s">
        <v>65</v>
      </c>
      <c r="D147" s="45" t="s">
        <v>139</v>
      </c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>
        <v>150</v>
      </c>
      <c r="Y147" s="55">
        <f t="shared" si="20"/>
        <v>0</v>
      </c>
      <c r="Z147">
        <f t="shared" si="21"/>
        <v>0</v>
      </c>
      <c r="AA147">
        <f t="shared" si="22"/>
        <v>0</v>
      </c>
      <c r="AB147">
        <f t="shared" si="23"/>
        <v>0</v>
      </c>
      <c r="AC147">
        <f t="shared" si="24"/>
        <v>0</v>
      </c>
      <c r="AD147">
        <f t="shared" si="25"/>
        <v>0</v>
      </c>
      <c r="AE147">
        <f t="shared" si="26"/>
        <v>0</v>
      </c>
      <c r="AF147">
        <f t="shared" si="27"/>
        <v>0</v>
      </c>
      <c r="AG147">
        <f t="shared" si="28"/>
        <v>0</v>
      </c>
      <c r="AH147">
        <f t="shared" si="29"/>
        <v>150</v>
      </c>
    </row>
    <row r="148" spans="1:34" ht="15.5" x14ac:dyDescent="0.35">
      <c r="A148" s="45" t="s">
        <v>22</v>
      </c>
      <c r="B148" s="45">
        <v>2020</v>
      </c>
      <c r="C148" s="45" t="s">
        <v>43</v>
      </c>
      <c r="D148" s="45" t="s">
        <v>139</v>
      </c>
      <c r="E148" s="55"/>
      <c r="F148" s="55"/>
      <c r="G148" s="55">
        <v>2500</v>
      </c>
      <c r="H148" s="55"/>
      <c r="I148" s="55"/>
      <c r="J148" s="55"/>
      <c r="K148" s="55"/>
      <c r="L148" s="55"/>
      <c r="M148" s="55"/>
      <c r="N148" s="55"/>
      <c r="O148" s="59"/>
      <c r="P148" s="55"/>
      <c r="Q148" s="55"/>
      <c r="R148" s="55"/>
      <c r="S148" s="55"/>
      <c r="T148" s="55"/>
      <c r="U148" s="55"/>
      <c r="V148" s="55"/>
      <c r="W148" s="55"/>
      <c r="X148" s="55"/>
      <c r="Y148" s="55">
        <f t="shared" si="20"/>
        <v>0</v>
      </c>
      <c r="Z148">
        <f t="shared" si="21"/>
        <v>2500</v>
      </c>
      <c r="AA148">
        <f t="shared" si="22"/>
        <v>0</v>
      </c>
      <c r="AB148">
        <f t="shared" si="23"/>
        <v>0</v>
      </c>
      <c r="AC148">
        <f t="shared" si="24"/>
        <v>0</v>
      </c>
      <c r="AD148">
        <f t="shared" si="25"/>
        <v>0</v>
      </c>
      <c r="AE148">
        <f t="shared" si="26"/>
        <v>0</v>
      </c>
      <c r="AF148">
        <f t="shared" si="27"/>
        <v>0</v>
      </c>
      <c r="AG148">
        <f t="shared" si="28"/>
        <v>0</v>
      </c>
      <c r="AH148">
        <f t="shared" si="29"/>
        <v>0</v>
      </c>
    </row>
    <row r="149" spans="1:34" ht="15.5" x14ac:dyDescent="0.35">
      <c r="A149" s="45" t="s">
        <v>22</v>
      </c>
      <c r="B149" s="45">
        <v>2020</v>
      </c>
      <c r="C149" s="45" t="s">
        <v>43</v>
      </c>
      <c r="D149" s="45" t="s">
        <v>69</v>
      </c>
      <c r="E149" s="55">
        <v>700</v>
      </c>
      <c r="F149" s="55"/>
      <c r="G149" s="55"/>
      <c r="H149" s="55"/>
      <c r="I149" s="55"/>
      <c r="J149" s="55">
        <v>500</v>
      </c>
      <c r="K149" s="55"/>
      <c r="L149" s="55"/>
      <c r="M149" s="55"/>
      <c r="N149" s="55"/>
      <c r="O149" s="55"/>
      <c r="P149" s="55"/>
      <c r="Q149" s="55"/>
      <c r="R149" s="55"/>
      <c r="S149" s="55">
        <v>300</v>
      </c>
      <c r="T149" s="55"/>
      <c r="U149" s="55"/>
      <c r="V149" s="56"/>
      <c r="W149" s="55"/>
      <c r="X149" s="55"/>
      <c r="Y149" s="55">
        <f t="shared" si="20"/>
        <v>700</v>
      </c>
      <c r="Z149">
        <f t="shared" si="21"/>
        <v>0</v>
      </c>
      <c r="AA149">
        <f t="shared" si="22"/>
        <v>500</v>
      </c>
      <c r="AB149">
        <f t="shared" si="23"/>
        <v>0</v>
      </c>
      <c r="AC149">
        <f t="shared" si="24"/>
        <v>0</v>
      </c>
      <c r="AD149">
        <f t="shared" si="25"/>
        <v>0</v>
      </c>
      <c r="AE149">
        <f t="shared" si="26"/>
        <v>0</v>
      </c>
      <c r="AF149">
        <f t="shared" si="27"/>
        <v>300</v>
      </c>
      <c r="AG149">
        <f t="shared" si="28"/>
        <v>0</v>
      </c>
      <c r="AH149">
        <f t="shared" si="29"/>
        <v>0</v>
      </c>
    </row>
    <row r="150" spans="1:34" ht="15.5" x14ac:dyDescent="0.35">
      <c r="A150" s="45" t="s">
        <v>22</v>
      </c>
      <c r="B150" s="45">
        <v>2020</v>
      </c>
      <c r="C150" s="45" t="s">
        <v>65</v>
      </c>
      <c r="D150" s="45" t="s">
        <v>140</v>
      </c>
      <c r="E150" s="55"/>
      <c r="F150" s="55"/>
      <c r="G150" s="55">
        <v>88</v>
      </c>
      <c r="H150" s="55"/>
      <c r="I150" s="55"/>
      <c r="J150" s="55"/>
      <c r="K150" s="55"/>
      <c r="L150" s="55"/>
      <c r="M150" s="55"/>
      <c r="N150" s="59"/>
      <c r="O150" s="55"/>
      <c r="P150" s="55">
        <v>300</v>
      </c>
      <c r="Q150" s="55"/>
      <c r="R150" s="55">
        <v>2000</v>
      </c>
      <c r="S150" s="55"/>
      <c r="T150" s="55"/>
      <c r="U150" s="55"/>
      <c r="V150" s="55"/>
      <c r="W150" s="55"/>
      <c r="X150" s="55"/>
      <c r="Y150" s="55">
        <f t="shared" si="20"/>
        <v>0</v>
      </c>
      <c r="Z150">
        <f t="shared" si="21"/>
        <v>88</v>
      </c>
      <c r="AA150">
        <f t="shared" si="22"/>
        <v>0</v>
      </c>
      <c r="AB150">
        <f t="shared" si="23"/>
        <v>0</v>
      </c>
      <c r="AC150">
        <f t="shared" si="24"/>
        <v>0</v>
      </c>
      <c r="AD150">
        <f t="shared" si="25"/>
        <v>300</v>
      </c>
      <c r="AE150">
        <f t="shared" si="26"/>
        <v>2000</v>
      </c>
      <c r="AF150">
        <f t="shared" si="27"/>
        <v>0</v>
      </c>
      <c r="AG150">
        <f t="shared" si="28"/>
        <v>0</v>
      </c>
      <c r="AH150">
        <f t="shared" si="29"/>
        <v>0</v>
      </c>
    </row>
    <row r="151" spans="1:34" ht="15.5" x14ac:dyDescent="0.35">
      <c r="A151" s="45" t="s">
        <v>22</v>
      </c>
      <c r="B151" s="45">
        <v>2021</v>
      </c>
      <c r="C151" s="45" t="s">
        <v>65</v>
      </c>
      <c r="D151" s="45" t="s">
        <v>141</v>
      </c>
      <c r="E151" s="55"/>
      <c r="F151" s="55">
        <v>2500</v>
      </c>
      <c r="G151" s="55"/>
      <c r="H151" s="55"/>
      <c r="I151" s="55"/>
      <c r="J151" s="55"/>
      <c r="K151" s="55"/>
      <c r="L151" s="55"/>
      <c r="M151" s="55"/>
      <c r="N151" s="55"/>
      <c r="O151" s="55">
        <v>2500</v>
      </c>
      <c r="P151" s="55"/>
      <c r="Q151" s="55"/>
      <c r="R151" s="55"/>
      <c r="S151" s="55"/>
      <c r="T151" s="55"/>
      <c r="U151" s="55"/>
      <c r="V151" s="57"/>
      <c r="W151" s="55"/>
      <c r="X151" s="55"/>
      <c r="Y151" s="55">
        <f t="shared" si="20"/>
        <v>2500</v>
      </c>
      <c r="Z151">
        <f t="shared" si="21"/>
        <v>0</v>
      </c>
      <c r="AA151">
        <f t="shared" si="22"/>
        <v>0</v>
      </c>
      <c r="AB151">
        <f t="shared" si="23"/>
        <v>0</v>
      </c>
      <c r="AC151">
        <f t="shared" si="24"/>
        <v>0</v>
      </c>
      <c r="AD151">
        <f t="shared" si="25"/>
        <v>2500</v>
      </c>
      <c r="AE151">
        <f t="shared" si="26"/>
        <v>0</v>
      </c>
      <c r="AF151">
        <f t="shared" si="27"/>
        <v>0</v>
      </c>
      <c r="AG151">
        <f t="shared" si="28"/>
        <v>0</v>
      </c>
      <c r="AH151">
        <f t="shared" si="29"/>
        <v>0</v>
      </c>
    </row>
    <row r="152" spans="1:34" x14ac:dyDescent="0.35">
      <c r="A152" s="45" t="s">
        <v>22</v>
      </c>
      <c r="B152" s="45">
        <v>2021</v>
      </c>
      <c r="C152" s="45" t="s">
        <v>43</v>
      </c>
      <c r="D152" s="45" t="s">
        <v>69</v>
      </c>
      <c r="E152" s="55">
        <v>300</v>
      </c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>
        <v>1000</v>
      </c>
      <c r="U152" s="55">
        <v>10000</v>
      </c>
      <c r="V152" s="55"/>
      <c r="W152" s="55"/>
      <c r="X152" s="55">
        <v>500</v>
      </c>
      <c r="Y152" s="55">
        <f t="shared" si="20"/>
        <v>300</v>
      </c>
      <c r="Z152">
        <f t="shared" si="21"/>
        <v>0</v>
      </c>
      <c r="AA152">
        <f t="shared" si="22"/>
        <v>0</v>
      </c>
      <c r="AB152">
        <f t="shared" si="23"/>
        <v>0</v>
      </c>
      <c r="AC152">
        <f t="shared" si="24"/>
        <v>0</v>
      </c>
      <c r="AD152">
        <f t="shared" si="25"/>
        <v>0</v>
      </c>
      <c r="AE152">
        <f t="shared" si="26"/>
        <v>0</v>
      </c>
      <c r="AF152">
        <f t="shared" si="27"/>
        <v>1000</v>
      </c>
      <c r="AG152">
        <f t="shared" si="28"/>
        <v>10000</v>
      </c>
      <c r="AH152">
        <f t="shared" si="29"/>
        <v>500</v>
      </c>
    </row>
    <row r="153" spans="1:34" ht="15.5" x14ac:dyDescent="0.35">
      <c r="A153" s="45" t="s">
        <v>22</v>
      </c>
      <c r="B153" s="45">
        <v>2021</v>
      </c>
      <c r="C153" s="45" t="s">
        <v>43</v>
      </c>
      <c r="D153" s="45" t="s">
        <v>142</v>
      </c>
      <c r="E153" s="55"/>
      <c r="F153" s="55"/>
      <c r="G153" s="55"/>
      <c r="H153" s="55"/>
      <c r="I153" s="55"/>
      <c r="J153" s="55"/>
      <c r="K153" s="55">
        <v>2000</v>
      </c>
      <c r="L153" s="55">
        <v>1500</v>
      </c>
      <c r="M153" s="55"/>
      <c r="N153" s="55">
        <v>300</v>
      </c>
      <c r="O153" s="55"/>
      <c r="P153" s="55"/>
      <c r="Q153" s="55"/>
      <c r="R153" s="55"/>
      <c r="S153" s="55">
        <v>700</v>
      </c>
      <c r="T153" s="55"/>
      <c r="U153" s="55"/>
      <c r="V153" s="59"/>
      <c r="W153" s="55">
        <v>1000</v>
      </c>
      <c r="X153" s="55"/>
      <c r="Y153" s="55">
        <f t="shared" si="20"/>
        <v>0</v>
      </c>
      <c r="Z153">
        <f t="shared" si="21"/>
        <v>0</v>
      </c>
      <c r="AA153">
        <f t="shared" si="22"/>
        <v>0</v>
      </c>
      <c r="AB153">
        <f t="shared" si="23"/>
        <v>3500</v>
      </c>
      <c r="AC153">
        <f t="shared" si="24"/>
        <v>300</v>
      </c>
      <c r="AD153">
        <f t="shared" si="25"/>
        <v>0</v>
      </c>
      <c r="AE153">
        <f t="shared" si="26"/>
        <v>0</v>
      </c>
      <c r="AF153">
        <f t="shared" si="27"/>
        <v>700</v>
      </c>
      <c r="AG153">
        <f t="shared" si="28"/>
        <v>0</v>
      </c>
      <c r="AH153">
        <f t="shared" si="29"/>
        <v>1000</v>
      </c>
    </row>
    <row r="154" spans="1:34" ht="15.5" x14ac:dyDescent="0.35">
      <c r="A154" s="45" t="s">
        <v>22</v>
      </c>
      <c r="B154" s="45">
        <v>2021</v>
      </c>
      <c r="C154" s="45" t="s">
        <v>65</v>
      </c>
      <c r="D154" s="45" t="s">
        <v>44</v>
      </c>
      <c r="E154" s="55"/>
      <c r="F154" s="55"/>
      <c r="G154" s="61"/>
      <c r="H154" s="55"/>
      <c r="I154" s="55"/>
      <c r="J154" s="55"/>
      <c r="K154" s="55"/>
      <c r="L154" s="55"/>
      <c r="M154" s="55"/>
      <c r="N154" s="56">
        <v>3000</v>
      </c>
      <c r="O154" s="55"/>
      <c r="P154" s="55"/>
      <c r="Q154" s="55">
        <v>1000</v>
      </c>
      <c r="R154" s="55"/>
      <c r="S154" s="55"/>
      <c r="T154" s="55"/>
      <c r="U154" s="55"/>
      <c r="V154" s="55">
        <v>50</v>
      </c>
      <c r="W154" s="55"/>
      <c r="X154" s="55"/>
      <c r="Y154" s="55">
        <f t="shared" si="20"/>
        <v>0</v>
      </c>
      <c r="Z154">
        <f t="shared" si="21"/>
        <v>0</v>
      </c>
      <c r="AA154">
        <f t="shared" si="22"/>
        <v>0</v>
      </c>
      <c r="AB154">
        <f t="shared" si="23"/>
        <v>0</v>
      </c>
      <c r="AC154">
        <f t="shared" si="24"/>
        <v>3000</v>
      </c>
      <c r="AD154">
        <f t="shared" si="25"/>
        <v>0</v>
      </c>
      <c r="AE154">
        <f t="shared" si="26"/>
        <v>1000</v>
      </c>
      <c r="AF154">
        <f t="shared" si="27"/>
        <v>0</v>
      </c>
      <c r="AG154">
        <f t="shared" si="28"/>
        <v>50</v>
      </c>
      <c r="AH154">
        <f t="shared" si="29"/>
        <v>0</v>
      </c>
    </row>
    <row r="155" spans="1:34" ht="15.5" x14ac:dyDescent="0.35">
      <c r="A155" s="45" t="s">
        <v>22</v>
      </c>
      <c r="B155" s="45">
        <v>2021</v>
      </c>
      <c r="C155" s="45" t="s">
        <v>65</v>
      </c>
      <c r="D155" s="45" t="s">
        <v>45</v>
      </c>
      <c r="E155" s="55"/>
      <c r="F155" s="55"/>
      <c r="G155" s="55"/>
      <c r="H155" s="55"/>
      <c r="I155" s="55"/>
      <c r="J155" s="55"/>
      <c r="K155" s="55"/>
      <c r="L155" s="55"/>
      <c r="M155" s="55"/>
      <c r="N155" s="55">
        <v>2000</v>
      </c>
      <c r="O155" s="55"/>
      <c r="P155" s="55"/>
      <c r="Q155" s="55"/>
      <c r="R155" s="55"/>
      <c r="S155" s="55"/>
      <c r="T155" s="55"/>
      <c r="U155" s="55"/>
      <c r="V155" s="55"/>
      <c r="W155" s="56"/>
      <c r="X155" s="55"/>
      <c r="Y155" s="55">
        <f t="shared" si="20"/>
        <v>0</v>
      </c>
      <c r="Z155">
        <f t="shared" si="21"/>
        <v>0</v>
      </c>
      <c r="AA155">
        <f t="shared" si="22"/>
        <v>0</v>
      </c>
      <c r="AB155">
        <f t="shared" si="23"/>
        <v>0</v>
      </c>
      <c r="AC155">
        <f t="shared" si="24"/>
        <v>2000</v>
      </c>
      <c r="AD155">
        <f t="shared" si="25"/>
        <v>0</v>
      </c>
      <c r="AE155">
        <f t="shared" si="26"/>
        <v>0</v>
      </c>
      <c r="AF155">
        <f t="shared" si="27"/>
        <v>0</v>
      </c>
      <c r="AG155">
        <f t="shared" si="28"/>
        <v>0</v>
      </c>
      <c r="AH155">
        <f t="shared" si="29"/>
        <v>0</v>
      </c>
    </row>
    <row r="156" spans="1:34" ht="15.5" x14ac:dyDescent="0.35">
      <c r="A156" s="45" t="s">
        <v>22</v>
      </c>
      <c r="B156" s="45">
        <v>2021</v>
      </c>
      <c r="C156" s="45" t="s">
        <v>43</v>
      </c>
      <c r="D156" s="45" t="s">
        <v>44</v>
      </c>
      <c r="E156" s="55">
        <v>88</v>
      </c>
      <c r="F156" s="55"/>
      <c r="G156" s="55"/>
      <c r="H156" s="61"/>
      <c r="I156" s="55"/>
      <c r="J156" s="55"/>
      <c r="K156" s="55"/>
      <c r="L156" s="55"/>
      <c r="M156" s="55">
        <v>1500</v>
      </c>
      <c r="N156" s="55"/>
      <c r="O156" s="55"/>
      <c r="P156" s="55"/>
      <c r="Q156" s="55"/>
      <c r="R156" s="55"/>
      <c r="S156" s="55"/>
      <c r="T156" s="60"/>
      <c r="U156" s="55"/>
      <c r="V156" s="55"/>
      <c r="W156" s="55"/>
      <c r="X156" s="55"/>
      <c r="Y156" s="55">
        <f t="shared" si="20"/>
        <v>88</v>
      </c>
      <c r="Z156">
        <f t="shared" si="21"/>
        <v>0</v>
      </c>
      <c r="AA156">
        <f t="shared" si="22"/>
        <v>0</v>
      </c>
      <c r="AB156">
        <f t="shared" si="23"/>
        <v>0</v>
      </c>
      <c r="AC156">
        <f t="shared" si="24"/>
        <v>1500</v>
      </c>
      <c r="AD156">
        <f t="shared" si="25"/>
        <v>0</v>
      </c>
      <c r="AE156">
        <f t="shared" si="26"/>
        <v>0</v>
      </c>
      <c r="AF156">
        <f t="shared" si="27"/>
        <v>0</v>
      </c>
      <c r="AG156">
        <f t="shared" si="28"/>
        <v>0</v>
      </c>
      <c r="AH156">
        <f t="shared" si="29"/>
        <v>0</v>
      </c>
    </row>
    <row r="157" spans="1:34" ht="15.5" x14ac:dyDescent="0.35">
      <c r="A157" s="45" t="s">
        <v>22</v>
      </c>
      <c r="B157" s="45">
        <v>2021</v>
      </c>
      <c r="C157" s="45" t="s">
        <v>43</v>
      </c>
      <c r="D157" s="45" t="s">
        <v>45</v>
      </c>
      <c r="E157" s="55"/>
      <c r="F157" s="55"/>
      <c r="G157" s="55"/>
      <c r="H157" s="55"/>
      <c r="I157" s="55"/>
      <c r="J157" s="55"/>
      <c r="K157" s="55"/>
      <c r="L157" s="55">
        <v>300</v>
      </c>
      <c r="M157" s="55"/>
      <c r="N157" s="55"/>
      <c r="O157" s="55"/>
      <c r="P157" s="55">
        <v>2500</v>
      </c>
      <c r="Q157" s="55"/>
      <c r="R157" s="55"/>
      <c r="S157" s="55"/>
      <c r="T157" s="55"/>
      <c r="U157" s="55"/>
      <c r="V157" s="55"/>
      <c r="W157" s="57"/>
      <c r="X157" s="55"/>
      <c r="Y157" s="55">
        <f t="shared" si="20"/>
        <v>0</v>
      </c>
      <c r="Z157">
        <f t="shared" si="21"/>
        <v>0</v>
      </c>
      <c r="AA157">
        <f t="shared" si="22"/>
        <v>0</v>
      </c>
      <c r="AB157">
        <f t="shared" si="23"/>
        <v>300</v>
      </c>
      <c r="AC157">
        <f t="shared" si="24"/>
        <v>0</v>
      </c>
      <c r="AD157">
        <f t="shared" si="25"/>
        <v>2500</v>
      </c>
      <c r="AE157">
        <f t="shared" si="26"/>
        <v>0</v>
      </c>
      <c r="AF157">
        <f t="shared" si="27"/>
        <v>0</v>
      </c>
      <c r="AG157">
        <f t="shared" si="28"/>
        <v>0</v>
      </c>
      <c r="AH157">
        <f t="shared" si="29"/>
        <v>0</v>
      </c>
    </row>
    <row r="158" spans="1:34" x14ac:dyDescent="0.35">
      <c r="A158" s="45" t="s">
        <v>22</v>
      </c>
      <c r="B158" s="45">
        <v>2021</v>
      </c>
      <c r="C158" s="45" t="s">
        <v>65</v>
      </c>
      <c r="D158" s="45" t="s">
        <v>44</v>
      </c>
      <c r="E158" s="55"/>
      <c r="F158" s="55"/>
      <c r="G158" s="55"/>
      <c r="H158" s="55"/>
      <c r="I158" s="55"/>
      <c r="J158" s="55"/>
      <c r="K158" s="55">
        <v>2500</v>
      </c>
      <c r="L158" s="55"/>
      <c r="M158" s="55"/>
      <c r="N158" s="55"/>
      <c r="O158" s="55">
        <v>500</v>
      </c>
      <c r="P158" s="55"/>
      <c r="Q158" s="55"/>
      <c r="R158" s="55"/>
      <c r="S158" s="55"/>
      <c r="T158" s="55"/>
      <c r="U158" s="55"/>
      <c r="V158" s="55">
        <v>10000</v>
      </c>
      <c r="W158" s="55"/>
      <c r="X158" s="55"/>
      <c r="Y158" s="55">
        <f t="shared" si="20"/>
        <v>0</v>
      </c>
      <c r="Z158">
        <f t="shared" si="21"/>
        <v>0</v>
      </c>
      <c r="AA158">
        <f t="shared" si="22"/>
        <v>0</v>
      </c>
      <c r="AB158">
        <f t="shared" si="23"/>
        <v>2500</v>
      </c>
      <c r="AC158">
        <f t="shared" si="24"/>
        <v>0</v>
      </c>
      <c r="AD158">
        <f t="shared" si="25"/>
        <v>500</v>
      </c>
      <c r="AE158">
        <f t="shared" si="26"/>
        <v>0</v>
      </c>
      <c r="AF158">
        <f t="shared" si="27"/>
        <v>0</v>
      </c>
      <c r="AG158">
        <f t="shared" si="28"/>
        <v>10000</v>
      </c>
      <c r="AH158">
        <f t="shared" si="29"/>
        <v>0</v>
      </c>
    </row>
    <row r="159" spans="1:34" ht="15.5" x14ac:dyDescent="0.35">
      <c r="A159" s="45" t="s">
        <v>22</v>
      </c>
      <c r="B159" s="45">
        <v>2021</v>
      </c>
      <c r="C159" s="45" t="s">
        <v>65</v>
      </c>
      <c r="D159" s="45" t="s">
        <v>45</v>
      </c>
      <c r="E159" s="55"/>
      <c r="F159" s="55"/>
      <c r="G159" s="55"/>
      <c r="H159" s="55"/>
      <c r="I159" s="55"/>
      <c r="J159" s="55">
        <v>500</v>
      </c>
      <c r="K159" s="55"/>
      <c r="L159" s="55"/>
      <c r="M159" s="55"/>
      <c r="N159" s="55"/>
      <c r="O159" s="55"/>
      <c r="P159" s="55"/>
      <c r="Q159" s="55"/>
      <c r="R159" s="55"/>
      <c r="S159" s="55">
        <v>2500</v>
      </c>
      <c r="T159" s="55"/>
      <c r="U159" s="55"/>
      <c r="V159" s="55"/>
      <c r="W159" s="59"/>
      <c r="X159" s="55">
        <v>1000</v>
      </c>
      <c r="Y159" s="55">
        <f t="shared" si="20"/>
        <v>0</v>
      </c>
      <c r="Z159">
        <f t="shared" si="21"/>
        <v>0</v>
      </c>
      <c r="AA159">
        <f t="shared" si="22"/>
        <v>500</v>
      </c>
      <c r="AB159">
        <f t="shared" si="23"/>
        <v>0</v>
      </c>
      <c r="AC159">
        <f t="shared" si="24"/>
        <v>0</v>
      </c>
      <c r="AD159">
        <f t="shared" si="25"/>
        <v>0</v>
      </c>
      <c r="AE159">
        <f t="shared" si="26"/>
        <v>0</v>
      </c>
      <c r="AF159">
        <f t="shared" si="27"/>
        <v>2500</v>
      </c>
      <c r="AG159">
        <f t="shared" si="28"/>
        <v>0</v>
      </c>
      <c r="AH159">
        <f t="shared" si="29"/>
        <v>1000</v>
      </c>
    </row>
    <row r="160" spans="1:34" ht="15.5" x14ac:dyDescent="0.35">
      <c r="A160" s="45" t="s">
        <v>22</v>
      </c>
      <c r="B160" s="45">
        <v>2021</v>
      </c>
      <c r="C160" s="45" t="s">
        <v>43</v>
      </c>
      <c r="D160" s="45" t="s">
        <v>46</v>
      </c>
      <c r="E160" s="55"/>
      <c r="F160" s="55"/>
      <c r="G160" s="55"/>
      <c r="H160" s="55"/>
      <c r="I160" s="55"/>
      <c r="J160" s="55"/>
      <c r="K160" s="55"/>
      <c r="L160" s="55"/>
      <c r="M160" s="55"/>
      <c r="N160" s="56">
        <v>34575</v>
      </c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>
        <f t="shared" si="20"/>
        <v>0</v>
      </c>
      <c r="Z160">
        <f t="shared" si="21"/>
        <v>0</v>
      </c>
      <c r="AA160">
        <f t="shared" si="22"/>
        <v>0</v>
      </c>
      <c r="AB160">
        <f t="shared" si="23"/>
        <v>0</v>
      </c>
      <c r="AC160">
        <f t="shared" si="24"/>
        <v>34575</v>
      </c>
      <c r="AD160">
        <f t="shared" si="25"/>
        <v>0</v>
      </c>
      <c r="AE160">
        <f t="shared" si="26"/>
        <v>0</v>
      </c>
      <c r="AF160">
        <f t="shared" si="27"/>
        <v>0</v>
      </c>
      <c r="AG160">
        <f t="shared" si="28"/>
        <v>0</v>
      </c>
      <c r="AH160">
        <f t="shared" si="29"/>
        <v>0</v>
      </c>
    </row>
    <row r="161" spans="1:34" ht="15.5" x14ac:dyDescent="0.35">
      <c r="A161" s="45" t="s">
        <v>22</v>
      </c>
      <c r="B161" s="45">
        <v>2021</v>
      </c>
      <c r="C161" s="45" t="s">
        <v>43</v>
      </c>
      <c r="D161" s="45" t="s">
        <v>46</v>
      </c>
      <c r="E161" s="55"/>
      <c r="F161" s="55"/>
      <c r="G161" s="55"/>
      <c r="H161" s="55"/>
      <c r="I161" s="55"/>
      <c r="J161" s="55"/>
      <c r="K161" s="55"/>
      <c r="L161" s="56">
        <v>24981.781999999999</v>
      </c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>
        <f t="shared" si="20"/>
        <v>0</v>
      </c>
      <c r="Z161">
        <f t="shared" si="21"/>
        <v>0</v>
      </c>
      <c r="AA161">
        <f t="shared" si="22"/>
        <v>0</v>
      </c>
      <c r="AB161">
        <f t="shared" si="23"/>
        <v>24981.781999999999</v>
      </c>
      <c r="AC161">
        <f t="shared" si="24"/>
        <v>0</v>
      </c>
      <c r="AD161">
        <f t="shared" si="25"/>
        <v>0</v>
      </c>
      <c r="AE161">
        <f t="shared" si="26"/>
        <v>0</v>
      </c>
      <c r="AF161">
        <f t="shared" si="27"/>
        <v>0</v>
      </c>
      <c r="AG161">
        <f t="shared" si="28"/>
        <v>0</v>
      </c>
      <c r="AH161">
        <f t="shared" si="29"/>
        <v>0</v>
      </c>
    </row>
    <row r="162" spans="1:34" ht="15.5" x14ac:dyDescent="0.35">
      <c r="A162" s="45" t="s">
        <v>22</v>
      </c>
      <c r="B162" s="45">
        <v>2021</v>
      </c>
      <c r="C162" s="45" t="s">
        <v>65</v>
      </c>
      <c r="D162" s="45" t="s">
        <v>139</v>
      </c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6">
        <v>8175</v>
      </c>
      <c r="U162" s="55"/>
      <c r="V162" s="55"/>
      <c r="W162" s="55"/>
      <c r="X162" s="55"/>
      <c r="Y162" s="55">
        <f t="shared" si="20"/>
        <v>0</v>
      </c>
      <c r="Z162">
        <f t="shared" si="21"/>
        <v>0</v>
      </c>
      <c r="AA162">
        <f t="shared" si="22"/>
        <v>0</v>
      </c>
      <c r="AB162">
        <f t="shared" si="23"/>
        <v>0</v>
      </c>
      <c r="AC162">
        <f t="shared" si="24"/>
        <v>0</v>
      </c>
      <c r="AD162">
        <f t="shared" si="25"/>
        <v>0</v>
      </c>
      <c r="AE162">
        <f t="shared" si="26"/>
        <v>0</v>
      </c>
      <c r="AF162">
        <f t="shared" si="27"/>
        <v>8175</v>
      </c>
      <c r="AG162">
        <f t="shared" si="28"/>
        <v>0</v>
      </c>
      <c r="AH162">
        <f t="shared" si="29"/>
        <v>0</v>
      </c>
    </row>
    <row r="163" spans="1:34" ht="15.5" x14ac:dyDescent="0.35">
      <c r="A163" s="45" t="s">
        <v>22</v>
      </c>
      <c r="B163" s="45">
        <v>2021</v>
      </c>
      <c r="C163" s="45" t="s">
        <v>65</v>
      </c>
      <c r="D163" s="45" t="s">
        <v>139</v>
      </c>
      <c r="E163" s="55"/>
      <c r="F163" s="56">
        <v>3000</v>
      </c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>
        <f t="shared" si="20"/>
        <v>3000</v>
      </c>
      <c r="Z163">
        <f t="shared" si="21"/>
        <v>0</v>
      </c>
      <c r="AA163">
        <f t="shared" si="22"/>
        <v>0</v>
      </c>
      <c r="AB163">
        <f t="shared" si="23"/>
        <v>0</v>
      </c>
      <c r="AC163">
        <f t="shared" si="24"/>
        <v>0</v>
      </c>
      <c r="AD163">
        <f t="shared" si="25"/>
        <v>0</v>
      </c>
      <c r="AE163">
        <f t="shared" si="26"/>
        <v>0</v>
      </c>
      <c r="AF163">
        <f t="shared" si="27"/>
        <v>0</v>
      </c>
      <c r="AG163">
        <f t="shared" si="28"/>
        <v>0</v>
      </c>
      <c r="AH163">
        <f t="shared" si="29"/>
        <v>0</v>
      </c>
    </row>
    <row r="164" spans="1:34" ht="15.5" x14ac:dyDescent="0.35">
      <c r="A164" s="45" t="s">
        <v>22</v>
      </c>
      <c r="B164" s="45">
        <v>2021</v>
      </c>
      <c r="C164" s="45" t="s">
        <v>43</v>
      </c>
      <c r="D164" s="45" t="s">
        <v>69</v>
      </c>
      <c r="E164" s="55"/>
      <c r="F164" s="55">
        <v>2000</v>
      </c>
      <c r="G164" s="55">
        <v>1500</v>
      </c>
      <c r="H164" s="55"/>
      <c r="I164" s="55">
        <v>300</v>
      </c>
      <c r="J164" s="55"/>
      <c r="K164" s="55">
        <v>500</v>
      </c>
      <c r="L164" s="55"/>
      <c r="M164" s="55"/>
      <c r="N164" s="56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>
        <f t="shared" si="20"/>
        <v>2000</v>
      </c>
      <c r="Z164">
        <f t="shared" si="21"/>
        <v>1500</v>
      </c>
      <c r="AA164">
        <f t="shared" si="22"/>
        <v>300</v>
      </c>
      <c r="AB164">
        <f t="shared" si="23"/>
        <v>500</v>
      </c>
      <c r="AC164">
        <f t="shared" si="24"/>
        <v>0</v>
      </c>
      <c r="AD164">
        <f t="shared" si="25"/>
        <v>0</v>
      </c>
      <c r="AE164">
        <f t="shared" si="26"/>
        <v>0</v>
      </c>
      <c r="AF164">
        <f t="shared" si="27"/>
        <v>0</v>
      </c>
      <c r="AG164">
        <f t="shared" si="28"/>
        <v>0</v>
      </c>
      <c r="AH164">
        <f t="shared" si="29"/>
        <v>0</v>
      </c>
    </row>
    <row r="165" spans="1:34" ht="15.5" x14ac:dyDescent="0.35">
      <c r="A165" s="45" t="s">
        <v>22</v>
      </c>
      <c r="B165" s="45">
        <v>2021</v>
      </c>
      <c r="C165" s="45" t="s">
        <v>43</v>
      </c>
      <c r="D165" s="45" t="s">
        <v>140</v>
      </c>
      <c r="E165" s="55">
        <v>1500</v>
      </c>
      <c r="F165" s="55"/>
      <c r="G165" s="55"/>
      <c r="H165" s="55">
        <v>2000</v>
      </c>
      <c r="I165" s="55"/>
      <c r="J165" s="55"/>
      <c r="K165" s="55">
        <v>300</v>
      </c>
      <c r="L165" s="56"/>
      <c r="M165" s="55"/>
      <c r="N165" s="55"/>
      <c r="O165" s="55"/>
      <c r="P165" s="55"/>
      <c r="Q165" s="55"/>
      <c r="R165" s="55">
        <v>300</v>
      </c>
      <c r="S165" s="55"/>
      <c r="T165" s="55"/>
      <c r="U165" s="55"/>
      <c r="V165" s="55"/>
      <c r="W165" s="55"/>
      <c r="X165" s="55"/>
      <c r="Y165" s="55">
        <f t="shared" si="20"/>
        <v>1500</v>
      </c>
      <c r="Z165">
        <f t="shared" si="21"/>
        <v>2000</v>
      </c>
      <c r="AA165">
        <f t="shared" si="22"/>
        <v>0</v>
      </c>
      <c r="AB165">
        <f t="shared" si="23"/>
        <v>300</v>
      </c>
      <c r="AC165">
        <f t="shared" si="24"/>
        <v>0</v>
      </c>
      <c r="AD165">
        <f t="shared" si="25"/>
        <v>0</v>
      </c>
      <c r="AE165">
        <f t="shared" si="26"/>
        <v>300</v>
      </c>
      <c r="AF165">
        <f t="shared" si="27"/>
        <v>0</v>
      </c>
      <c r="AG165">
        <f t="shared" si="28"/>
        <v>0</v>
      </c>
      <c r="AH165">
        <f t="shared" si="29"/>
        <v>0</v>
      </c>
    </row>
    <row r="166" spans="1:34" ht="15.5" x14ac:dyDescent="0.35">
      <c r="A166" s="45" t="s">
        <v>22</v>
      </c>
      <c r="B166" s="45">
        <v>2017</v>
      </c>
      <c r="C166" s="45" t="s">
        <v>65</v>
      </c>
      <c r="D166" s="45" t="s">
        <v>141</v>
      </c>
      <c r="E166" s="55"/>
      <c r="F166" s="55"/>
      <c r="G166" s="55"/>
      <c r="H166" s="55"/>
      <c r="I166" s="55"/>
      <c r="J166" s="55"/>
      <c r="K166" s="55"/>
      <c r="L166" s="55"/>
      <c r="M166" s="55"/>
      <c r="N166" s="57"/>
      <c r="O166" s="55"/>
      <c r="P166" s="55"/>
      <c r="Q166" s="55">
        <v>2500</v>
      </c>
      <c r="R166" s="55"/>
      <c r="S166" s="55"/>
      <c r="T166" s="55"/>
      <c r="U166" s="55"/>
      <c r="V166" s="55">
        <v>208</v>
      </c>
      <c r="W166" s="55"/>
      <c r="X166" s="55"/>
      <c r="Y166" s="55">
        <f t="shared" si="20"/>
        <v>0</v>
      </c>
      <c r="Z166">
        <f t="shared" si="21"/>
        <v>0</v>
      </c>
      <c r="AA166">
        <f t="shared" si="22"/>
        <v>0</v>
      </c>
      <c r="AB166">
        <f t="shared" si="23"/>
        <v>0</v>
      </c>
      <c r="AC166">
        <f t="shared" si="24"/>
        <v>0</v>
      </c>
      <c r="AD166">
        <f t="shared" si="25"/>
        <v>0</v>
      </c>
      <c r="AE166">
        <f t="shared" si="26"/>
        <v>2500</v>
      </c>
      <c r="AF166">
        <f t="shared" si="27"/>
        <v>0</v>
      </c>
      <c r="AG166">
        <f t="shared" si="28"/>
        <v>208</v>
      </c>
      <c r="AH166">
        <f t="shared" si="29"/>
        <v>0</v>
      </c>
    </row>
    <row r="167" spans="1:34" ht="15.5" x14ac:dyDescent="0.35">
      <c r="A167" s="45" t="s">
        <v>22</v>
      </c>
      <c r="B167" s="45">
        <v>2017</v>
      </c>
      <c r="C167" s="45" t="s">
        <v>65</v>
      </c>
      <c r="D167" s="45" t="s">
        <v>69</v>
      </c>
      <c r="E167" s="55"/>
      <c r="F167" s="55"/>
      <c r="G167" s="55"/>
      <c r="H167" s="55"/>
      <c r="I167" s="55"/>
      <c r="J167" s="55">
        <v>1000</v>
      </c>
      <c r="K167" s="55">
        <v>12000</v>
      </c>
      <c r="L167" s="58"/>
      <c r="M167" s="55">
        <v>10000</v>
      </c>
      <c r="N167" s="55"/>
      <c r="O167" s="55"/>
      <c r="P167" s="55">
        <v>500</v>
      </c>
      <c r="Q167" s="55"/>
      <c r="R167" s="55"/>
      <c r="S167" s="55"/>
      <c r="T167" s="55"/>
      <c r="U167" s="55"/>
      <c r="V167" s="55"/>
      <c r="W167" s="55">
        <v>510</v>
      </c>
      <c r="X167" s="55"/>
      <c r="Y167" s="55">
        <f t="shared" si="20"/>
        <v>0</v>
      </c>
      <c r="Z167">
        <f t="shared" si="21"/>
        <v>0</v>
      </c>
      <c r="AA167">
        <f t="shared" si="22"/>
        <v>1000</v>
      </c>
      <c r="AB167">
        <f t="shared" si="23"/>
        <v>12000</v>
      </c>
      <c r="AC167">
        <f t="shared" si="24"/>
        <v>10000</v>
      </c>
      <c r="AD167">
        <f t="shared" si="25"/>
        <v>500</v>
      </c>
      <c r="AE167">
        <f t="shared" si="26"/>
        <v>0</v>
      </c>
      <c r="AF167">
        <f t="shared" si="27"/>
        <v>0</v>
      </c>
      <c r="AG167">
        <f t="shared" si="28"/>
        <v>0</v>
      </c>
      <c r="AH167">
        <f t="shared" si="29"/>
        <v>510</v>
      </c>
    </row>
    <row r="168" spans="1:34" ht="15.5" x14ac:dyDescent="0.35">
      <c r="A168" s="45" t="s">
        <v>22</v>
      </c>
      <c r="B168" s="45">
        <v>2017</v>
      </c>
      <c r="C168" s="45" t="s">
        <v>43</v>
      </c>
      <c r="D168" s="45" t="s">
        <v>142</v>
      </c>
      <c r="E168" s="55"/>
      <c r="F168" s="55"/>
      <c r="G168" s="55"/>
      <c r="H168" s="55"/>
      <c r="I168" s="55">
        <v>700</v>
      </c>
      <c r="J168" s="55"/>
      <c r="K168" s="55"/>
      <c r="L168" s="55">
        <v>200</v>
      </c>
      <c r="M168" s="55"/>
      <c r="N168" s="59"/>
      <c r="O168" s="55">
        <v>1000</v>
      </c>
      <c r="P168" s="55"/>
      <c r="Q168" s="55"/>
      <c r="R168" s="55"/>
      <c r="S168" s="55"/>
      <c r="T168" s="55"/>
      <c r="U168" s="55"/>
      <c r="V168" s="55"/>
      <c r="W168" s="55"/>
      <c r="X168" s="55"/>
      <c r="Y168" s="55">
        <f t="shared" si="20"/>
        <v>0</v>
      </c>
      <c r="Z168">
        <f t="shared" si="21"/>
        <v>0</v>
      </c>
      <c r="AA168">
        <f t="shared" si="22"/>
        <v>700</v>
      </c>
      <c r="AB168">
        <f t="shared" si="23"/>
        <v>200</v>
      </c>
      <c r="AC168">
        <f t="shared" si="24"/>
        <v>0</v>
      </c>
      <c r="AD168">
        <f t="shared" si="25"/>
        <v>1000</v>
      </c>
      <c r="AE168">
        <f t="shared" si="26"/>
        <v>0</v>
      </c>
      <c r="AF168">
        <f t="shared" si="27"/>
        <v>0</v>
      </c>
      <c r="AG168">
        <f t="shared" si="28"/>
        <v>0</v>
      </c>
      <c r="AH168">
        <f t="shared" si="29"/>
        <v>0</v>
      </c>
    </row>
    <row r="169" spans="1:34" ht="15.5" x14ac:dyDescent="0.35">
      <c r="A169" s="45" t="s">
        <v>22</v>
      </c>
      <c r="B169" s="45">
        <v>2017</v>
      </c>
      <c r="C169" s="45" t="s">
        <v>43</v>
      </c>
      <c r="D169" s="45" t="s">
        <v>44</v>
      </c>
      <c r="E169" s="55"/>
      <c r="F169" s="55"/>
      <c r="G169" s="55"/>
      <c r="H169" s="55"/>
      <c r="I169" s="55"/>
      <c r="J169" s="55"/>
      <c r="K169" s="55"/>
      <c r="L169" s="59"/>
      <c r="M169" s="55"/>
      <c r="N169" s="55">
        <v>50</v>
      </c>
      <c r="O169" s="55"/>
      <c r="P169" s="55"/>
      <c r="Q169" s="55"/>
      <c r="R169" s="55"/>
      <c r="S169" s="55"/>
      <c r="T169" s="55">
        <v>500</v>
      </c>
      <c r="U169" s="55"/>
      <c r="V169" s="55"/>
      <c r="W169" s="55"/>
      <c r="X169" s="55"/>
      <c r="Y169" s="55">
        <f t="shared" si="20"/>
        <v>0</v>
      </c>
      <c r="Z169">
        <f t="shared" si="21"/>
        <v>0</v>
      </c>
      <c r="AA169">
        <f t="shared" si="22"/>
        <v>0</v>
      </c>
      <c r="AB169">
        <f t="shared" si="23"/>
        <v>0</v>
      </c>
      <c r="AC169">
        <f t="shared" si="24"/>
        <v>50</v>
      </c>
      <c r="AD169">
        <f t="shared" si="25"/>
        <v>0</v>
      </c>
      <c r="AE169">
        <f t="shared" si="26"/>
        <v>0</v>
      </c>
      <c r="AF169">
        <f t="shared" si="27"/>
        <v>500</v>
      </c>
      <c r="AG169">
        <f t="shared" si="28"/>
        <v>0</v>
      </c>
      <c r="AH169">
        <f t="shared" si="29"/>
        <v>0</v>
      </c>
    </row>
    <row r="170" spans="1:34" ht="15.5" x14ac:dyDescent="0.35">
      <c r="A170" s="45" t="s">
        <v>22</v>
      </c>
      <c r="B170" s="45">
        <v>2016</v>
      </c>
      <c r="C170" s="45" t="s">
        <v>65</v>
      </c>
      <c r="D170" s="45" t="s">
        <v>45</v>
      </c>
      <c r="E170" s="55"/>
      <c r="F170" s="56">
        <v>34575</v>
      </c>
      <c r="G170" s="55"/>
      <c r="H170" s="55"/>
      <c r="I170" s="55"/>
      <c r="J170" s="55"/>
      <c r="K170" s="55"/>
      <c r="L170" s="55"/>
      <c r="M170" s="55"/>
      <c r="N170" s="59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>
        <f t="shared" si="20"/>
        <v>34575</v>
      </c>
      <c r="Z170">
        <f t="shared" si="21"/>
        <v>0</v>
      </c>
      <c r="AA170">
        <f t="shared" si="22"/>
        <v>0</v>
      </c>
      <c r="AB170">
        <f t="shared" si="23"/>
        <v>0</v>
      </c>
      <c r="AC170">
        <f t="shared" si="24"/>
        <v>0</v>
      </c>
      <c r="AD170">
        <f t="shared" si="25"/>
        <v>0</v>
      </c>
      <c r="AE170">
        <f t="shared" si="26"/>
        <v>0</v>
      </c>
      <c r="AF170">
        <f t="shared" si="27"/>
        <v>0</v>
      </c>
      <c r="AG170">
        <f t="shared" si="28"/>
        <v>0</v>
      </c>
      <c r="AH170">
        <f t="shared" si="29"/>
        <v>0</v>
      </c>
    </row>
    <row r="171" spans="1:34" ht="15.5" x14ac:dyDescent="0.35">
      <c r="A171" s="45" t="s">
        <v>22</v>
      </c>
      <c r="B171" s="45">
        <v>2016</v>
      </c>
      <c r="C171" s="45" t="s">
        <v>65</v>
      </c>
      <c r="D171" s="45" t="s">
        <v>44</v>
      </c>
      <c r="E171" s="55"/>
      <c r="F171" s="55"/>
      <c r="G171" s="55"/>
      <c r="H171" s="55"/>
      <c r="I171" s="55"/>
      <c r="J171" s="55"/>
      <c r="K171" s="55"/>
      <c r="L171" s="55"/>
      <c r="M171" s="55"/>
      <c r="N171" s="59"/>
      <c r="O171" s="55"/>
      <c r="P171" s="55"/>
      <c r="Q171" s="55"/>
      <c r="R171" s="55">
        <v>100</v>
      </c>
      <c r="S171" s="55"/>
      <c r="T171" s="55"/>
      <c r="U171" s="55"/>
      <c r="V171" s="55"/>
      <c r="W171" s="55"/>
      <c r="X171" s="55"/>
      <c r="Y171" s="55">
        <f t="shared" si="20"/>
        <v>0</v>
      </c>
      <c r="Z171">
        <f t="shared" si="21"/>
        <v>0</v>
      </c>
      <c r="AA171">
        <f t="shared" si="22"/>
        <v>0</v>
      </c>
      <c r="AB171">
        <f t="shared" si="23"/>
        <v>0</v>
      </c>
      <c r="AC171">
        <f t="shared" si="24"/>
        <v>0</v>
      </c>
      <c r="AD171">
        <f t="shared" si="25"/>
        <v>0</v>
      </c>
      <c r="AE171">
        <f t="shared" si="26"/>
        <v>100</v>
      </c>
      <c r="AF171">
        <f t="shared" si="27"/>
        <v>0</v>
      </c>
      <c r="AG171">
        <f t="shared" si="28"/>
        <v>0</v>
      </c>
      <c r="AH171">
        <f t="shared" si="29"/>
        <v>0</v>
      </c>
    </row>
    <row r="172" spans="1:34" ht="15.5" x14ac:dyDescent="0.35">
      <c r="A172" s="45" t="s">
        <v>22</v>
      </c>
      <c r="B172" s="45">
        <v>2016</v>
      </c>
      <c r="C172" s="45" t="s">
        <v>43</v>
      </c>
      <c r="D172" s="45" t="s">
        <v>45</v>
      </c>
      <c r="E172" s="55"/>
      <c r="F172" s="55"/>
      <c r="G172" s="55"/>
      <c r="H172" s="55"/>
      <c r="I172" s="55"/>
      <c r="J172" s="55"/>
      <c r="K172" s="55"/>
      <c r="L172" s="59"/>
      <c r="M172" s="55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>
        <f t="shared" si="20"/>
        <v>0</v>
      </c>
      <c r="Z172">
        <f t="shared" si="21"/>
        <v>0</v>
      </c>
      <c r="AA172">
        <f t="shared" si="22"/>
        <v>0</v>
      </c>
      <c r="AB172">
        <f t="shared" si="23"/>
        <v>0</v>
      </c>
      <c r="AC172">
        <f t="shared" si="24"/>
        <v>0</v>
      </c>
      <c r="AD172">
        <f t="shared" si="25"/>
        <v>0</v>
      </c>
      <c r="AE172">
        <f t="shared" si="26"/>
        <v>0</v>
      </c>
      <c r="AF172">
        <f t="shared" si="27"/>
        <v>0</v>
      </c>
      <c r="AG172">
        <f t="shared" si="28"/>
        <v>0</v>
      </c>
      <c r="AH172">
        <f t="shared" si="29"/>
        <v>0</v>
      </c>
    </row>
    <row r="173" spans="1:34" ht="15.5" x14ac:dyDescent="0.35">
      <c r="A173" s="45" t="s">
        <v>22</v>
      </c>
      <c r="B173" s="45">
        <v>2016</v>
      </c>
      <c r="C173" s="45" t="s">
        <v>43</v>
      </c>
      <c r="D173" s="45" t="s">
        <v>44</v>
      </c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6">
        <v>3000</v>
      </c>
      <c r="U173" s="55"/>
      <c r="V173" s="55"/>
      <c r="W173" s="55"/>
      <c r="X173" s="55"/>
      <c r="Y173" s="55">
        <f t="shared" si="20"/>
        <v>0</v>
      </c>
      <c r="Z173">
        <f t="shared" si="21"/>
        <v>0</v>
      </c>
      <c r="AA173">
        <f t="shared" si="22"/>
        <v>0</v>
      </c>
      <c r="AB173">
        <f t="shared" si="23"/>
        <v>0</v>
      </c>
      <c r="AC173">
        <f t="shared" si="24"/>
        <v>0</v>
      </c>
      <c r="AD173">
        <f t="shared" si="25"/>
        <v>0</v>
      </c>
      <c r="AE173">
        <f t="shared" si="26"/>
        <v>0</v>
      </c>
      <c r="AF173">
        <f t="shared" si="27"/>
        <v>3000</v>
      </c>
      <c r="AG173">
        <f t="shared" si="28"/>
        <v>0</v>
      </c>
      <c r="AH173">
        <f t="shared" si="29"/>
        <v>0</v>
      </c>
    </row>
    <row r="174" spans="1:34" ht="15.5" x14ac:dyDescent="0.35">
      <c r="A174" s="45" t="s">
        <v>22</v>
      </c>
      <c r="B174" s="45">
        <v>2016</v>
      </c>
      <c r="C174" s="45" t="s">
        <v>65</v>
      </c>
      <c r="D174" s="45" t="s">
        <v>45</v>
      </c>
      <c r="E174" s="55"/>
      <c r="F174" s="56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>
        <v>2000</v>
      </c>
      <c r="U174" s="55">
        <v>1500</v>
      </c>
      <c r="V174" s="55"/>
      <c r="W174" s="55">
        <v>300</v>
      </c>
      <c r="X174" s="55"/>
      <c r="Y174" s="55">
        <f t="shared" si="20"/>
        <v>0</v>
      </c>
      <c r="Z174">
        <f t="shared" si="21"/>
        <v>0</v>
      </c>
      <c r="AA174">
        <f t="shared" si="22"/>
        <v>0</v>
      </c>
      <c r="AB174">
        <f t="shared" si="23"/>
        <v>0</v>
      </c>
      <c r="AC174">
        <f t="shared" si="24"/>
        <v>0</v>
      </c>
      <c r="AD174">
        <f t="shared" si="25"/>
        <v>0</v>
      </c>
      <c r="AE174">
        <f t="shared" si="26"/>
        <v>0</v>
      </c>
      <c r="AF174">
        <f t="shared" si="27"/>
        <v>2000</v>
      </c>
      <c r="AG174">
        <f t="shared" si="28"/>
        <v>1500</v>
      </c>
      <c r="AH174">
        <f t="shared" si="29"/>
        <v>300</v>
      </c>
    </row>
    <row r="175" spans="1:34" ht="15.5" x14ac:dyDescent="0.35">
      <c r="A175" s="45" t="s">
        <v>22</v>
      </c>
      <c r="B175" s="45">
        <v>2022</v>
      </c>
      <c r="C175" s="45" t="s">
        <v>65</v>
      </c>
      <c r="D175" s="45" t="s">
        <v>46</v>
      </c>
      <c r="E175" s="55"/>
      <c r="F175" s="55"/>
      <c r="G175" s="55"/>
      <c r="H175" s="55"/>
      <c r="I175" s="55"/>
      <c r="J175" s="55">
        <v>300</v>
      </c>
      <c r="K175" s="55"/>
      <c r="L175" s="55"/>
      <c r="M175" s="55"/>
      <c r="N175" s="59"/>
      <c r="O175" s="56">
        <v>8175</v>
      </c>
      <c r="P175" s="55"/>
      <c r="Q175" s="55"/>
      <c r="R175" s="55"/>
      <c r="S175" s="55">
        <v>1500</v>
      </c>
      <c r="T175" s="55"/>
      <c r="U175" s="55"/>
      <c r="V175" s="55">
        <v>2000</v>
      </c>
      <c r="W175" s="55"/>
      <c r="X175" s="55"/>
      <c r="Y175" s="55">
        <f t="shared" si="20"/>
        <v>0</v>
      </c>
      <c r="Z175">
        <f t="shared" si="21"/>
        <v>0</v>
      </c>
      <c r="AA175">
        <f t="shared" si="22"/>
        <v>300</v>
      </c>
      <c r="AB175">
        <f t="shared" si="23"/>
        <v>0</v>
      </c>
      <c r="AC175">
        <f t="shared" si="24"/>
        <v>0</v>
      </c>
      <c r="AD175">
        <f t="shared" si="25"/>
        <v>8175</v>
      </c>
      <c r="AE175">
        <f t="shared" si="26"/>
        <v>0</v>
      </c>
      <c r="AF175">
        <f t="shared" si="27"/>
        <v>1500</v>
      </c>
      <c r="AG175">
        <f t="shared" si="28"/>
        <v>2000</v>
      </c>
      <c r="AH175">
        <f t="shared" si="29"/>
        <v>0</v>
      </c>
    </row>
    <row r="176" spans="1:34" ht="15.5" x14ac:dyDescent="0.35">
      <c r="A176" s="45" t="s">
        <v>22</v>
      </c>
      <c r="B176" s="45">
        <v>2022</v>
      </c>
      <c r="C176" s="45" t="s">
        <v>43</v>
      </c>
      <c r="D176" s="45" t="s">
        <v>46</v>
      </c>
      <c r="E176" s="55"/>
      <c r="F176" s="57"/>
      <c r="G176" s="55"/>
      <c r="H176" s="55"/>
      <c r="I176" s="55">
        <v>2500</v>
      </c>
      <c r="J176" s="55"/>
      <c r="K176" s="55"/>
      <c r="L176" s="55"/>
      <c r="M176" s="55"/>
      <c r="N176" s="59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>
        <f t="shared" si="20"/>
        <v>0</v>
      </c>
      <c r="Z176">
        <f t="shared" si="21"/>
        <v>0</v>
      </c>
      <c r="AA176">
        <f t="shared" si="22"/>
        <v>2500</v>
      </c>
      <c r="AB176">
        <f t="shared" si="23"/>
        <v>0</v>
      </c>
      <c r="AC176">
        <f t="shared" si="24"/>
        <v>0</v>
      </c>
      <c r="AD176">
        <f t="shared" si="25"/>
        <v>0</v>
      </c>
      <c r="AE176">
        <f t="shared" si="26"/>
        <v>0</v>
      </c>
      <c r="AF176">
        <f t="shared" si="27"/>
        <v>0</v>
      </c>
      <c r="AG176">
        <f t="shared" si="28"/>
        <v>0</v>
      </c>
      <c r="AH176">
        <f t="shared" si="29"/>
        <v>0</v>
      </c>
    </row>
    <row r="177" spans="1:34" ht="15.5" x14ac:dyDescent="0.35">
      <c r="A177" s="45" t="s">
        <v>22</v>
      </c>
      <c r="B177" s="45">
        <v>2022</v>
      </c>
      <c r="C177" s="45" t="s">
        <v>43</v>
      </c>
      <c r="D177" s="45" t="s">
        <v>139</v>
      </c>
      <c r="E177" s="55">
        <v>10000</v>
      </c>
      <c r="F177" s="55"/>
      <c r="G177" s="55"/>
      <c r="H177" s="55">
        <v>500</v>
      </c>
      <c r="I177" s="55"/>
      <c r="J177" s="55"/>
      <c r="K177" s="55">
        <v>12000</v>
      </c>
      <c r="L177" s="58"/>
      <c r="M177" s="55">
        <v>10000</v>
      </c>
      <c r="N177" s="55"/>
      <c r="O177" s="55"/>
      <c r="P177" s="55">
        <v>600</v>
      </c>
      <c r="Q177" s="55"/>
      <c r="R177" s="55"/>
      <c r="S177" s="55"/>
      <c r="T177" s="55"/>
      <c r="U177" s="55"/>
      <c r="V177" s="55"/>
      <c r="W177" s="55"/>
      <c r="X177" s="55">
        <v>1000</v>
      </c>
      <c r="Y177" s="55">
        <f t="shared" si="20"/>
        <v>10000</v>
      </c>
      <c r="Z177">
        <f t="shared" si="21"/>
        <v>500</v>
      </c>
      <c r="AA177">
        <f t="shared" si="22"/>
        <v>0</v>
      </c>
      <c r="AB177">
        <f t="shared" si="23"/>
        <v>12000</v>
      </c>
      <c r="AC177">
        <f t="shared" si="24"/>
        <v>10000</v>
      </c>
      <c r="AD177">
        <f t="shared" si="25"/>
        <v>600</v>
      </c>
      <c r="AE177">
        <f t="shared" si="26"/>
        <v>0</v>
      </c>
      <c r="AF177">
        <f t="shared" si="27"/>
        <v>0</v>
      </c>
      <c r="AG177">
        <f t="shared" si="28"/>
        <v>0</v>
      </c>
      <c r="AH177">
        <f t="shared" si="29"/>
        <v>1000</v>
      </c>
    </row>
    <row r="178" spans="1:34" ht="15.5" x14ac:dyDescent="0.35">
      <c r="A178" s="45" t="s">
        <v>22</v>
      </c>
      <c r="B178" s="45">
        <v>2022</v>
      </c>
      <c r="C178" s="45" t="s">
        <v>65</v>
      </c>
      <c r="D178" s="45" t="s">
        <v>139</v>
      </c>
      <c r="E178" s="55"/>
      <c r="F178" s="59"/>
      <c r="G178" s="55">
        <v>1000</v>
      </c>
      <c r="H178" s="55"/>
      <c r="I178" s="55"/>
      <c r="J178" s="55"/>
      <c r="K178" s="55"/>
      <c r="L178" s="55">
        <v>200</v>
      </c>
      <c r="M178" s="55"/>
      <c r="N178" s="59"/>
      <c r="O178" s="55"/>
      <c r="P178" s="55"/>
      <c r="Q178" s="55"/>
      <c r="R178" s="55"/>
      <c r="S178" s="55"/>
      <c r="T178" s="55"/>
      <c r="U178" s="55"/>
      <c r="V178" s="55"/>
      <c r="W178" s="55">
        <v>700</v>
      </c>
      <c r="X178" s="55"/>
      <c r="Y178" s="55">
        <f t="shared" si="20"/>
        <v>0</v>
      </c>
      <c r="Z178">
        <f t="shared" si="21"/>
        <v>1000</v>
      </c>
      <c r="AA178">
        <f t="shared" si="22"/>
        <v>0</v>
      </c>
      <c r="AB178">
        <f t="shared" si="23"/>
        <v>200</v>
      </c>
      <c r="AC178">
        <f t="shared" si="24"/>
        <v>0</v>
      </c>
      <c r="AD178">
        <f t="shared" si="25"/>
        <v>0</v>
      </c>
      <c r="AE178">
        <f t="shared" si="26"/>
        <v>0</v>
      </c>
      <c r="AF178">
        <f t="shared" si="27"/>
        <v>0</v>
      </c>
      <c r="AG178">
        <f t="shared" si="28"/>
        <v>0</v>
      </c>
      <c r="AH178">
        <f t="shared" si="29"/>
        <v>700</v>
      </c>
    </row>
    <row r="179" spans="1:34" ht="15.5" x14ac:dyDescent="0.35">
      <c r="A179" s="45" t="s">
        <v>22</v>
      </c>
      <c r="B179" s="45">
        <v>2022</v>
      </c>
      <c r="C179" s="45" t="s">
        <v>65</v>
      </c>
      <c r="D179" s="45" t="s">
        <v>69</v>
      </c>
      <c r="E179" s="55"/>
      <c r="F179" s="55">
        <v>50</v>
      </c>
      <c r="G179" s="55"/>
      <c r="H179" s="55"/>
      <c r="I179" s="55"/>
      <c r="J179" s="55"/>
      <c r="K179" s="55"/>
      <c r="L179" s="59"/>
      <c r="M179" s="55"/>
      <c r="N179" s="59"/>
      <c r="O179" s="55"/>
      <c r="P179" s="55"/>
      <c r="Q179" s="55">
        <v>208</v>
      </c>
      <c r="R179" s="55"/>
      <c r="S179" s="55"/>
      <c r="T179" s="55"/>
      <c r="U179" s="55"/>
      <c r="V179" s="55"/>
      <c r="W179" s="55"/>
      <c r="X179" s="55"/>
      <c r="Y179" s="55">
        <f t="shared" si="20"/>
        <v>50</v>
      </c>
      <c r="Z179">
        <f t="shared" si="21"/>
        <v>0</v>
      </c>
      <c r="AA179">
        <f t="shared" si="22"/>
        <v>0</v>
      </c>
      <c r="AB179">
        <f t="shared" si="23"/>
        <v>0</v>
      </c>
      <c r="AC179">
        <f t="shared" si="24"/>
        <v>0</v>
      </c>
      <c r="AD179">
        <f t="shared" si="25"/>
        <v>0</v>
      </c>
      <c r="AE179">
        <f t="shared" si="26"/>
        <v>208</v>
      </c>
      <c r="AF179">
        <f t="shared" si="27"/>
        <v>0</v>
      </c>
      <c r="AG179">
        <f t="shared" si="28"/>
        <v>0</v>
      </c>
      <c r="AH179">
        <f t="shared" si="29"/>
        <v>0</v>
      </c>
    </row>
    <row r="180" spans="1:34" ht="15.5" x14ac:dyDescent="0.35">
      <c r="A180" s="45" t="s">
        <v>22</v>
      </c>
      <c r="B180" s="45">
        <v>2022</v>
      </c>
      <c r="C180" s="45" t="s">
        <v>43</v>
      </c>
      <c r="D180" s="45" t="s">
        <v>140</v>
      </c>
      <c r="E180" s="55"/>
      <c r="F180" s="59"/>
      <c r="G180" s="55"/>
      <c r="H180" s="55"/>
      <c r="I180" s="55"/>
      <c r="J180" s="55"/>
      <c r="K180" s="55"/>
      <c r="L180" s="55"/>
      <c r="M180" s="55"/>
      <c r="N180" s="55"/>
      <c r="O180" s="55"/>
      <c r="P180" s="55"/>
      <c r="Q180" s="55"/>
      <c r="R180" s="55">
        <v>510</v>
      </c>
      <c r="S180" s="55"/>
      <c r="T180" s="55"/>
      <c r="U180" s="55"/>
      <c r="V180" s="55"/>
      <c r="W180" s="55"/>
      <c r="X180" s="55">
        <v>88</v>
      </c>
      <c r="Y180" s="55">
        <f t="shared" si="20"/>
        <v>0</v>
      </c>
      <c r="Z180">
        <f t="shared" si="21"/>
        <v>0</v>
      </c>
      <c r="AA180">
        <f t="shared" si="22"/>
        <v>0</v>
      </c>
      <c r="AB180">
        <f t="shared" si="23"/>
        <v>0</v>
      </c>
      <c r="AC180">
        <f t="shared" si="24"/>
        <v>0</v>
      </c>
      <c r="AD180">
        <f t="shared" si="25"/>
        <v>0</v>
      </c>
      <c r="AE180">
        <f t="shared" si="26"/>
        <v>510</v>
      </c>
      <c r="AF180">
        <f t="shared" si="27"/>
        <v>0</v>
      </c>
      <c r="AG180">
        <f t="shared" si="28"/>
        <v>0</v>
      </c>
      <c r="AH180">
        <f t="shared" si="29"/>
        <v>88</v>
      </c>
    </row>
    <row r="181" spans="1:34" ht="15.5" x14ac:dyDescent="0.35">
      <c r="A181" s="45" t="s">
        <v>23</v>
      </c>
      <c r="B181" s="45">
        <v>2016</v>
      </c>
      <c r="C181" s="45" t="s">
        <v>43</v>
      </c>
      <c r="D181" s="45" t="s">
        <v>141</v>
      </c>
      <c r="E181" s="55"/>
      <c r="F181" s="59"/>
      <c r="G181" s="55"/>
      <c r="H181" s="55"/>
      <c r="I181" s="55"/>
      <c r="J181" s="55"/>
      <c r="K181" s="55"/>
      <c r="L181" s="55"/>
      <c r="M181" s="55"/>
      <c r="N181" s="59"/>
      <c r="O181" s="55"/>
      <c r="P181" s="55"/>
      <c r="Q181" s="55"/>
      <c r="R181" s="55"/>
      <c r="S181" s="55"/>
      <c r="T181" s="55"/>
      <c r="U181" s="55">
        <v>200</v>
      </c>
      <c r="V181" s="55"/>
      <c r="W181" s="55"/>
      <c r="X181" s="55"/>
      <c r="Y181" s="55">
        <f t="shared" si="20"/>
        <v>0</v>
      </c>
      <c r="Z181">
        <f t="shared" si="21"/>
        <v>0</v>
      </c>
      <c r="AA181">
        <f t="shared" si="22"/>
        <v>0</v>
      </c>
      <c r="AB181">
        <f t="shared" si="23"/>
        <v>0</v>
      </c>
      <c r="AC181">
        <f t="shared" si="24"/>
        <v>0</v>
      </c>
      <c r="AD181">
        <f t="shared" si="25"/>
        <v>0</v>
      </c>
      <c r="AE181">
        <f t="shared" si="26"/>
        <v>0</v>
      </c>
      <c r="AF181">
        <f t="shared" si="27"/>
        <v>0</v>
      </c>
      <c r="AG181">
        <f t="shared" si="28"/>
        <v>200</v>
      </c>
      <c r="AH181">
        <f t="shared" si="29"/>
        <v>0</v>
      </c>
    </row>
    <row r="182" spans="1:34" ht="15.5" x14ac:dyDescent="0.35">
      <c r="A182" s="45" t="s">
        <v>23</v>
      </c>
      <c r="B182" s="45">
        <v>2016</v>
      </c>
      <c r="C182" s="45" t="s">
        <v>65</v>
      </c>
      <c r="D182" s="45" t="s">
        <v>69</v>
      </c>
      <c r="E182" s="55"/>
      <c r="F182" s="55"/>
      <c r="G182" s="55"/>
      <c r="H182" s="55"/>
      <c r="I182" s="55"/>
      <c r="J182" s="55"/>
      <c r="K182" s="55"/>
      <c r="L182" s="55"/>
      <c r="M182" s="55"/>
      <c r="N182" s="59"/>
      <c r="O182" s="55">
        <v>500</v>
      </c>
      <c r="P182" s="55"/>
      <c r="Q182" s="55"/>
      <c r="R182" s="55"/>
      <c r="S182" s="55"/>
      <c r="T182" s="55"/>
      <c r="U182" s="55"/>
      <c r="V182" s="55">
        <v>60</v>
      </c>
      <c r="W182" s="55"/>
      <c r="X182" s="55"/>
      <c r="Y182" s="55">
        <f t="shared" si="20"/>
        <v>0</v>
      </c>
      <c r="Z182">
        <f t="shared" si="21"/>
        <v>0</v>
      </c>
      <c r="AA182">
        <f t="shared" si="22"/>
        <v>0</v>
      </c>
      <c r="AB182">
        <f t="shared" si="23"/>
        <v>0</v>
      </c>
      <c r="AC182">
        <f t="shared" si="24"/>
        <v>0</v>
      </c>
      <c r="AD182">
        <f t="shared" si="25"/>
        <v>500</v>
      </c>
      <c r="AE182">
        <f t="shared" si="26"/>
        <v>0</v>
      </c>
      <c r="AF182">
        <f t="shared" si="27"/>
        <v>0</v>
      </c>
      <c r="AG182">
        <f t="shared" si="28"/>
        <v>60</v>
      </c>
      <c r="AH182">
        <f t="shared" si="29"/>
        <v>0</v>
      </c>
    </row>
    <row r="183" spans="1:34" x14ac:dyDescent="0.35">
      <c r="A183" s="45" t="s">
        <v>23</v>
      </c>
      <c r="B183" s="45">
        <v>2916</v>
      </c>
      <c r="C183" s="45" t="s">
        <v>65</v>
      </c>
      <c r="D183" s="45" t="s">
        <v>142</v>
      </c>
      <c r="E183" s="55"/>
      <c r="F183" s="55"/>
      <c r="G183" s="55"/>
      <c r="H183" s="55"/>
      <c r="I183" s="55">
        <v>500</v>
      </c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>
        <f t="shared" si="20"/>
        <v>0</v>
      </c>
      <c r="Z183">
        <f t="shared" si="21"/>
        <v>0</v>
      </c>
      <c r="AA183">
        <f t="shared" si="22"/>
        <v>500</v>
      </c>
      <c r="AB183">
        <f t="shared" si="23"/>
        <v>0</v>
      </c>
      <c r="AC183">
        <f t="shared" si="24"/>
        <v>0</v>
      </c>
      <c r="AD183">
        <f t="shared" si="25"/>
        <v>0</v>
      </c>
      <c r="AE183">
        <f t="shared" si="26"/>
        <v>0</v>
      </c>
      <c r="AF183">
        <f t="shared" si="27"/>
        <v>0</v>
      </c>
      <c r="AG183">
        <f t="shared" si="28"/>
        <v>0</v>
      </c>
      <c r="AH183">
        <f t="shared" si="29"/>
        <v>0</v>
      </c>
    </row>
    <row r="184" spans="1:34" ht="15.5" x14ac:dyDescent="0.35">
      <c r="A184" s="45" t="s">
        <v>23</v>
      </c>
      <c r="B184" s="45">
        <v>2016</v>
      </c>
      <c r="C184" s="45" t="s">
        <v>43</v>
      </c>
      <c r="D184" s="45" t="s">
        <v>44</v>
      </c>
      <c r="E184" s="55"/>
      <c r="F184" s="55">
        <v>110</v>
      </c>
      <c r="G184" s="55"/>
      <c r="H184" s="55"/>
      <c r="I184" s="55">
        <v>300</v>
      </c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6">
        <v>24981.781999999999</v>
      </c>
      <c r="U184" s="55"/>
      <c r="V184" s="55"/>
      <c r="W184" s="55"/>
      <c r="X184" s="55"/>
      <c r="Y184" s="55">
        <f t="shared" si="20"/>
        <v>110</v>
      </c>
      <c r="Z184">
        <f t="shared" si="21"/>
        <v>0</v>
      </c>
      <c r="AA184">
        <f t="shared" si="22"/>
        <v>300</v>
      </c>
      <c r="AB184">
        <f t="shared" si="23"/>
        <v>0</v>
      </c>
      <c r="AC184">
        <f t="shared" si="24"/>
        <v>0</v>
      </c>
      <c r="AD184">
        <f t="shared" si="25"/>
        <v>0</v>
      </c>
      <c r="AE184">
        <f t="shared" si="26"/>
        <v>0</v>
      </c>
      <c r="AF184">
        <f t="shared" si="27"/>
        <v>24981.781999999999</v>
      </c>
      <c r="AG184">
        <f t="shared" si="28"/>
        <v>0</v>
      </c>
      <c r="AH184">
        <f t="shared" si="29"/>
        <v>0</v>
      </c>
    </row>
    <row r="185" spans="1:34" x14ac:dyDescent="0.35">
      <c r="A185" s="45" t="s">
        <v>23</v>
      </c>
      <c r="B185" s="45">
        <v>2017</v>
      </c>
      <c r="C185" s="45" t="s">
        <v>43</v>
      </c>
      <c r="D185" s="45" t="s">
        <v>45</v>
      </c>
      <c r="E185" s="55"/>
      <c r="F185" s="55"/>
      <c r="G185" s="55"/>
      <c r="H185" s="55"/>
      <c r="I185" s="55"/>
      <c r="J185" s="55"/>
      <c r="K185" s="55">
        <v>2000</v>
      </c>
      <c r="L185" s="55">
        <v>1500</v>
      </c>
      <c r="M185" s="55"/>
      <c r="N185" s="55">
        <v>300</v>
      </c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>
        <f t="shared" si="20"/>
        <v>0</v>
      </c>
      <c r="Z185">
        <f t="shared" si="21"/>
        <v>0</v>
      </c>
      <c r="AA185">
        <f t="shared" si="22"/>
        <v>0</v>
      </c>
      <c r="AB185">
        <f t="shared" si="23"/>
        <v>3500</v>
      </c>
      <c r="AC185">
        <f t="shared" si="24"/>
        <v>300</v>
      </c>
      <c r="AD185">
        <f t="shared" si="25"/>
        <v>0</v>
      </c>
      <c r="AE185">
        <f t="shared" si="26"/>
        <v>0</v>
      </c>
      <c r="AF185">
        <f t="shared" si="27"/>
        <v>0</v>
      </c>
      <c r="AG185">
        <f t="shared" si="28"/>
        <v>0</v>
      </c>
      <c r="AH185">
        <f t="shared" si="29"/>
        <v>0</v>
      </c>
    </row>
    <row r="186" spans="1:34" ht="15.5" x14ac:dyDescent="0.35">
      <c r="A186" s="45" t="s">
        <v>23</v>
      </c>
      <c r="B186" s="45">
        <v>2017</v>
      </c>
      <c r="C186" s="45" t="s">
        <v>65</v>
      </c>
      <c r="D186" s="45" t="s">
        <v>44</v>
      </c>
      <c r="E186" s="55"/>
      <c r="F186" s="55"/>
      <c r="G186" s="55"/>
      <c r="H186" s="55"/>
      <c r="I186" s="55"/>
      <c r="J186" s="55"/>
      <c r="K186" s="55"/>
      <c r="L186" s="55"/>
      <c r="M186" s="55"/>
      <c r="N186" s="56">
        <v>3000</v>
      </c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>
        <f t="shared" si="20"/>
        <v>0</v>
      </c>
      <c r="Z186">
        <f t="shared" si="21"/>
        <v>0</v>
      </c>
      <c r="AA186">
        <f t="shared" si="22"/>
        <v>0</v>
      </c>
      <c r="AB186">
        <f t="shared" si="23"/>
        <v>0</v>
      </c>
      <c r="AC186">
        <f t="shared" si="24"/>
        <v>3000</v>
      </c>
      <c r="AD186">
        <f t="shared" si="25"/>
        <v>0</v>
      </c>
      <c r="AE186">
        <f t="shared" si="26"/>
        <v>0</v>
      </c>
      <c r="AF186">
        <f t="shared" si="27"/>
        <v>0</v>
      </c>
      <c r="AG186">
        <f t="shared" si="28"/>
        <v>0</v>
      </c>
      <c r="AH186">
        <f t="shared" si="29"/>
        <v>0</v>
      </c>
    </row>
    <row r="187" spans="1:34" x14ac:dyDescent="0.35">
      <c r="A187" s="45" t="s">
        <v>23</v>
      </c>
      <c r="B187" s="45">
        <v>2017</v>
      </c>
      <c r="C187" s="45" t="s">
        <v>65</v>
      </c>
      <c r="D187" s="45" t="s">
        <v>45</v>
      </c>
      <c r="E187" s="55"/>
      <c r="F187" s="55"/>
      <c r="G187" s="55"/>
      <c r="H187" s="55"/>
      <c r="I187" s="55"/>
      <c r="J187" s="55"/>
      <c r="K187" s="55"/>
      <c r="L187" s="55"/>
      <c r="M187" s="55"/>
      <c r="N187" s="55">
        <v>2000</v>
      </c>
      <c r="O187" s="55">
        <v>1500</v>
      </c>
      <c r="P187" s="55"/>
      <c r="Q187" s="55">
        <v>300</v>
      </c>
      <c r="R187" s="55"/>
      <c r="S187" s="55">
        <v>500</v>
      </c>
      <c r="T187" s="55"/>
      <c r="U187" s="55"/>
      <c r="V187" s="55"/>
      <c r="W187" s="55"/>
      <c r="X187" s="55"/>
      <c r="Y187" s="55">
        <f t="shared" si="20"/>
        <v>0</v>
      </c>
      <c r="Z187">
        <f t="shared" si="21"/>
        <v>0</v>
      </c>
      <c r="AA187">
        <f t="shared" si="22"/>
        <v>0</v>
      </c>
      <c r="AB187">
        <f t="shared" si="23"/>
        <v>0</v>
      </c>
      <c r="AC187">
        <f t="shared" si="24"/>
        <v>2000</v>
      </c>
      <c r="AD187">
        <f t="shared" si="25"/>
        <v>1500</v>
      </c>
      <c r="AE187">
        <f t="shared" si="26"/>
        <v>300</v>
      </c>
      <c r="AF187">
        <f t="shared" si="27"/>
        <v>500</v>
      </c>
      <c r="AG187">
        <f t="shared" si="28"/>
        <v>0</v>
      </c>
      <c r="AH187">
        <f t="shared" si="29"/>
        <v>0</v>
      </c>
    </row>
    <row r="188" spans="1:34" ht="15.5" x14ac:dyDescent="0.35">
      <c r="A188" s="45" t="s">
        <v>23</v>
      </c>
      <c r="B188" s="45">
        <v>2018</v>
      </c>
      <c r="C188" s="45" t="s">
        <v>43</v>
      </c>
      <c r="D188" s="45" t="s">
        <v>44</v>
      </c>
      <c r="E188" s="55">
        <v>300</v>
      </c>
      <c r="F188" s="55"/>
      <c r="G188" s="55">
        <v>500</v>
      </c>
      <c r="H188" s="55"/>
      <c r="I188" s="55"/>
      <c r="J188" s="55"/>
      <c r="K188" s="55"/>
      <c r="L188" s="55"/>
      <c r="M188" s="55">
        <v>1500</v>
      </c>
      <c r="N188" s="55"/>
      <c r="O188" s="55"/>
      <c r="P188" s="55">
        <v>2000</v>
      </c>
      <c r="Q188" s="55"/>
      <c r="R188" s="55"/>
      <c r="S188" s="55">
        <v>300</v>
      </c>
      <c r="T188" s="56"/>
      <c r="U188" s="55"/>
      <c r="V188" s="55"/>
      <c r="W188" s="55"/>
      <c r="X188" s="55">
        <v>300</v>
      </c>
      <c r="Y188" s="55">
        <f t="shared" si="20"/>
        <v>300</v>
      </c>
      <c r="Z188">
        <f t="shared" si="21"/>
        <v>500</v>
      </c>
      <c r="AA188">
        <f t="shared" si="22"/>
        <v>0</v>
      </c>
      <c r="AB188">
        <f t="shared" si="23"/>
        <v>0</v>
      </c>
      <c r="AC188">
        <f t="shared" si="24"/>
        <v>1500</v>
      </c>
      <c r="AD188">
        <f t="shared" si="25"/>
        <v>2000</v>
      </c>
      <c r="AE188">
        <f t="shared" si="26"/>
        <v>0</v>
      </c>
      <c r="AF188">
        <f t="shared" si="27"/>
        <v>300</v>
      </c>
      <c r="AG188">
        <f t="shared" si="28"/>
        <v>0</v>
      </c>
      <c r="AH188">
        <f t="shared" si="29"/>
        <v>300</v>
      </c>
    </row>
    <row r="189" spans="1:34" ht="15.5" x14ac:dyDescent="0.35">
      <c r="A189" s="45" t="s">
        <v>23</v>
      </c>
      <c r="B189" s="45">
        <v>2018</v>
      </c>
      <c r="C189" s="45" t="s">
        <v>43</v>
      </c>
      <c r="D189" s="45" t="s">
        <v>45</v>
      </c>
      <c r="E189" s="55"/>
      <c r="F189" s="55"/>
      <c r="G189" s="55">
        <v>300</v>
      </c>
      <c r="H189" s="56"/>
      <c r="I189" s="55"/>
      <c r="J189" s="55"/>
      <c r="K189" s="55"/>
      <c r="L189" s="55">
        <v>300</v>
      </c>
      <c r="M189" s="55"/>
      <c r="N189" s="55"/>
      <c r="O189" s="55"/>
      <c r="P189" s="55"/>
      <c r="Q189" s="55"/>
      <c r="R189" s="55"/>
      <c r="S189" s="55"/>
      <c r="T189" s="55"/>
      <c r="U189" s="55"/>
      <c r="V189" s="55"/>
      <c r="W189" s="55">
        <v>2500</v>
      </c>
      <c r="X189" s="55"/>
      <c r="Y189" s="55">
        <f t="shared" si="20"/>
        <v>0</v>
      </c>
      <c r="Z189">
        <f t="shared" si="21"/>
        <v>300</v>
      </c>
      <c r="AA189">
        <f t="shared" si="22"/>
        <v>0</v>
      </c>
      <c r="AB189">
        <f t="shared" si="23"/>
        <v>300</v>
      </c>
      <c r="AC189">
        <f t="shared" si="24"/>
        <v>0</v>
      </c>
      <c r="AD189">
        <f t="shared" si="25"/>
        <v>0</v>
      </c>
      <c r="AE189">
        <f t="shared" si="26"/>
        <v>0</v>
      </c>
      <c r="AF189">
        <f t="shared" si="27"/>
        <v>0</v>
      </c>
      <c r="AG189">
        <f t="shared" si="28"/>
        <v>0</v>
      </c>
      <c r="AH189">
        <f t="shared" si="29"/>
        <v>2500</v>
      </c>
    </row>
    <row r="190" spans="1:34" ht="15.5" x14ac:dyDescent="0.35">
      <c r="A190" s="45" t="s">
        <v>23</v>
      </c>
      <c r="B190" s="45">
        <v>2018</v>
      </c>
      <c r="C190" s="45" t="s">
        <v>65</v>
      </c>
      <c r="D190" s="45" t="s">
        <v>46</v>
      </c>
      <c r="E190" s="55"/>
      <c r="F190" s="55"/>
      <c r="G190" s="55"/>
      <c r="H190" s="55"/>
      <c r="I190" s="55"/>
      <c r="J190" s="55"/>
      <c r="K190" s="55">
        <v>2500</v>
      </c>
      <c r="L190" s="55"/>
      <c r="M190" s="55"/>
      <c r="N190" s="55"/>
      <c r="O190" s="55"/>
      <c r="P190" s="55"/>
      <c r="Q190" s="55"/>
      <c r="R190" s="55">
        <v>1000</v>
      </c>
      <c r="S190" s="55">
        <v>12000</v>
      </c>
      <c r="T190" s="58"/>
      <c r="U190" s="55"/>
      <c r="V190" s="55">
        <v>500</v>
      </c>
      <c r="W190" s="55"/>
      <c r="X190" s="55"/>
      <c r="Y190" s="55">
        <f t="shared" si="20"/>
        <v>0</v>
      </c>
      <c r="Z190">
        <f t="shared" si="21"/>
        <v>0</v>
      </c>
      <c r="AA190">
        <f t="shared" si="22"/>
        <v>0</v>
      </c>
      <c r="AB190">
        <f t="shared" si="23"/>
        <v>2500</v>
      </c>
      <c r="AC190">
        <f t="shared" si="24"/>
        <v>0</v>
      </c>
      <c r="AD190">
        <f t="shared" si="25"/>
        <v>0</v>
      </c>
      <c r="AE190">
        <f t="shared" si="26"/>
        <v>1000</v>
      </c>
      <c r="AF190">
        <f t="shared" si="27"/>
        <v>12000</v>
      </c>
      <c r="AG190">
        <f t="shared" si="28"/>
        <v>500</v>
      </c>
      <c r="AH190">
        <f t="shared" si="29"/>
        <v>0</v>
      </c>
    </row>
    <row r="191" spans="1:34" ht="15.5" x14ac:dyDescent="0.35">
      <c r="A191" s="45" t="s">
        <v>23</v>
      </c>
      <c r="B191" s="45">
        <v>2018</v>
      </c>
      <c r="C191" s="45" t="s">
        <v>65</v>
      </c>
      <c r="D191" s="45" t="s">
        <v>46</v>
      </c>
      <c r="E191" s="55"/>
      <c r="F191" s="55">
        <v>1000</v>
      </c>
      <c r="G191" s="55">
        <v>12000</v>
      </c>
      <c r="H191" s="58"/>
      <c r="I191" s="55"/>
      <c r="J191" s="55">
        <v>500</v>
      </c>
      <c r="K191" s="55"/>
      <c r="L191" s="55"/>
      <c r="M191" s="55"/>
      <c r="N191" s="55"/>
      <c r="O191" s="55"/>
      <c r="P191" s="55"/>
      <c r="Q191" s="55">
        <v>700</v>
      </c>
      <c r="R191" s="55"/>
      <c r="S191" s="55"/>
      <c r="T191" s="55">
        <v>200</v>
      </c>
      <c r="U191" s="55">
        <v>1000</v>
      </c>
      <c r="V191" s="55"/>
      <c r="W191" s="55"/>
      <c r="X191" s="55"/>
      <c r="Y191" s="55">
        <f t="shared" si="20"/>
        <v>1000</v>
      </c>
      <c r="Z191">
        <f t="shared" si="21"/>
        <v>12000</v>
      </c>
      <c r="AA191">
        <f t="shared" si="22"/>
        <v>500</v>
      </c>
      <c r="AB191">
        <f t="shared" si="23"/>
        <v>0</v>
      </c>
      <c r="AC191">
        <f t="shared" si="24"/>
        <v>0</v>
      </c>
      <c r="AD191">
        <f t="shared" si="25"/>
        <v>0</v>
      </c>
      <c r="AE191">
        <f t="shared" si="26"/>
        <v>700</v>
      </c>
      <c r="AF191">
        <f t="shared" si="27"/>
        <v>200</v>
      </c>
      <c r="AG191">
        <f t="shared" si="28"/>
        <v>1000</v>
      </c>
      <c r="AH191">
        <f t="shared" si="29"/>
        <v>0</v>
      </c>
    </row>
    <row r="192" spans="1:34" ht="15.5" x14ac:dyDescent="0.35">
      <c r="A192" s="45" t="s">
        <v>23</v>
      </c>
      <c r="B192" s="45">
        <v>2018</v>
      </c>
      <c r="C192" s="45" t="s">
        <v>43</v>
      </c>
      <c r="D192" s="45" t="s">
        <v>139</v>
      </c>
      <c r="E192" s="55">
        <v>700</v>
      </c>
      <c r="F192" s="55"/>
      <c r="G192" s="55"/>
      <c r="H192" s="55">
        <v>200</v>
      </c>
      <c r="I192" s="55">
        <v>1000</v>
      </c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9"/>
      <c r="U192" s="55"/>
      <c r="V192" s="55"/>
      <c r="W192" s="55"/>
      <c r="X192" s="55"/>
      <c r="Y192" s="55">
        <f t="shared" si="20"/>
        <v>700</v>
      </c>
      <c r="Z192">
        <f t="shared" si="21"/>
        <v>200</v>
      </c>
      <c r="AA192">
        <f t="shared" si="22"/>
        <v>1000</v>
      </c>
      <c r="AB192">
        <f t="shared" si="23"/>
        <v>0</v>
      </c>
      <c r="AC192">
        <f t="shared" si="24"/>
        <v>0</v>
      </c>
      <c r="AD192">
        <f t="shared" si="25"/>
        <v>0</v>
      </c>
      <c r="AE192">
        <f t="shared" si="26"/>
        <v>0</v>
      </c>
      <c r="AF192">
        <f t="shared" si="27"/>
        <v>0</v>
      </c>
      <c r="AG192">
        <f t="shared" si="28"/>
        <v>0</v>
      </c>
      <c r="AH192">
        <f t="shared" si="29"/>
        <v>0</v>
      </c>
    </row>
    <row r="193" spans="1:34" ht="15.5" x14ac:dyDescent="0.35">
      <c r="A193" s="45" t="s">
        <v>23</v>
      </c>
      <c r="B193" s="45">
        <v>2019</v>
      </c>
      <c r="C193" s="45" t="s">
        <v>43</v>
      </c>
      <c r="D193" s="45" t="s">
        <v>139</v>
      </c>
      <c r="E193" s="55"/>
      <c r="F193" s="55"/>
      <c r="G193" s="55"/>
      <c r="H193" s="59"/>
      <c r="I193" s="55"/>
      <c r="J193" s="55"/>
      <c r="K193" s="55"/>
      <c r="L193" s="55"/>
      <c r="M193" s="55"/>
      <c r="N193" s="56">
        <v>34575</v>
      </c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>
        <f t="shared" si="20"/>
        <v>0</v>
      </c>
      <c r="Z193">
        <f t="shared" si="21"/>
        <v>0</v>
      </c>
      <c r="AA193">
        <f t="shared" si="22"/>
        <v>0</v>
      </c>
      <c r="AB193">
        <f t="shared" si="23"/>
        <v>0</v>
      </c>
      <c r="AC193">
        <f t="shared" si="24"/>
        <v>34575</v>
      </c>
      <c r="AD193">
        <f t="shared" si="25"/>
        <v>0</v>
      </c>
      <c r="AE193">
        <f t="shared" si="26"/>
        <v>0</v>
      </c>
      <c r="AF193">
        <f t="shared" si="27"/>
        <v>0</v>
      </c>
      <c r="AG193">
        <f t="shared" si="28"/>
        <v>0</v>
      </c>
      <c r="AH193">
        <f t="shared" si="29"/>
        <v>0</v>
      </c>
    </row>
    <row r="194" spans="1:34" ht="15.5" x14ac:dyDescent="0.35">
      <c r="A194" s="45" t="s">
        <v>23</v>
      </c>
      <c r="B194" s="45">
        <v>2019</v>
      </c>
      <c r="C194" s="45" t="s">
        <v>65</v>
      </c>
      <c r="D194" s="45" t="s">
        <v>69</v>
      </c>
      <c r="E194" s="55">
        <v>1500</v>
      </c>
      <c r="F194" s="55"/>
      <c r="G194" s="55">
        <v>300</v>
      </c>
      <c r="H194" s="55"/>
      <c r="I194" s="55"/>
      <c r="J194" s="56"/>
      <c r="K194" s="55"/>
      <c r="L194" s="55"/>
      <c r="M194" s="55"/>
      <c r="N194" s="55"/>
      <c r="O194" s="55"/>
      <c r="P194" s="55"/>
      <c r="Q194" s="55">
        <v>300</v>
      </c>
      <c r="R194" s="55"/>
      <c r="S194" s="55"/>
      <c r="T194" s="55"/>
      <c r="U194" s="55"/>
      <c r="V194" s="55"/>
      <c r="W194" s="55"/>
      <c r="X194" s="55"/>
      <c r="Y194" s="55">
        <f t="shared" si="20"/>
        <v>1500</v>
      </c>
      <c r="Z194">
        <f t="shared" si="21"/>
        <v>300</v>
      </c>
      <c r="AA194">
        <f t="shared" si="22"/>
        <v>0</v>
      </c>
      <c r="AB194">
        <f t="shared" si="23"/>
        <v>0</v>
      </c>
      <c r="AC194">
        <f t="shared" si="24"/>
        <v>0</v>
      </c>
      <c r="AD194">
        <f t="shared" si="25"/>
        <v>0</v>
      </c>
      <c r="AE194">
        <f t="shared" si="26"/>
        <v>300</v>
      </c>
      <c r="AF194">
        <f t="shared" si="27"/>
        <v>0</v>
      </c>
      <c r="AG194">
        <f t="shared" si="28"/>
        <v>0</v>
      </c>
      <c r="AH194">
        <f t="shared" si="29"/>
        <v>0</v>
      </c>
    </row>
    <row r="195" spans="1:34" x14ac:dyDescent="0.35">
      <c r="A195" s="45" t="s">
        <v>23</v>
      </c>
      <c r="B195" s="45">
        <v>2019</v>
      </c>
      <c r="C195" s="45" t="s">
        <v>65</v>
      </c>
      <c r="D195" s="45" t="s">
        <v>140</v>
      </c>
      <c r="E195" s="55"/>
      <c r="F195" s="55">
        <v>2000</v>
      </c>
      <c r="G195" s="55"/>
      <c r="H195" s="55"/>
      <c r="I195" s="55"/>
      <c r="J195" s="55"/>
      <c r="K195" s="55"/>
      <c r="L195" s="55"/>
      <c r="M195" s="55"/>
      <c r="N195" s="55">
        <v>300</v>
      </c>
      <c r="O195" s="55"/>
      <c r="P195" s="55"/>
      <c r="Q195" s="55"/>
      <c r="R195" s="55"/>
      <c r="S195" s="55">
        <v>2000</v>
      </c>
      <c r="T195" s="55">
        <v>1500</v>
      </c>
      <c r="U195" s="55"/>
      <c r="V195" s="55">
        <v>300</v>
      </c>
      <c r="W195" s="55"/>
      <c r="X195" s="55"/>
      <c r="Y195" s="55">
        <f t="shared" si="20"/>
        <v>2000</v>
      </c>
      <c r="Z195">
        <f t="shared" si="21"/>
        <v>0</v>
      </c>
      <c r="AA195">
        <f t="shared" si="22"/>
        <v>0</v>
      </c>
      <c r="AB195">
        <f t="shared" si="23"/>
        <v>0</v>
      </c>
      <c r="AC195">
        <f t="shared" si="24"/>
        <v>300</v>
      </c>
      <c r="AD195">
        <f t="shared" si="25"/>
        <v>0</v>
      </c>
      <c r="AE195">
        <f t="shared" si="26"/>
        <v>0</v>
      </c>
      <c r="AF195">
        <f t="shared" si="27"/>
        <v>3500</v>
      </c>
      <c r="AG195">
        <f t="shared" si="28"/>
        <v>300</v>
      </c>
      <c r="AH195">
        <f t="shared" si="29"/>
        <v>0</v>
      </c>
    </row>
    <row r="196" spans="1:34" ht="15.5" x14ac:dyDescent="0.35">
      <c r="A196" s="45" t="s">
        <v>23</v>
      </c>
      <c r="B196" s="45">
        <v>2019</v>
      </c>
      <c r="C196" s="45" t="s">
        <v>43</v>
      </c>
      <c r="D196" s="45" t="s">
        <v>141</v>
      </c>
      <c r="E196" s="55"/>
      <c r="F196" s="55"/>
      <c r="G196" s="55"/>
      <c r="H196" s="55"/>
      <c r="I196" s="55"/>
      <c r="J196" s="57"/>
      <c r="K196" s="55"/>
      <c r="L196" s="55"/>
      <c r="M196" s="55">
        <v>2500</v>
      </c>
      <c r="N196" s="55"/>
      <c r="O196" s="55"/>
      <c r="P196" s="55"/>
      <c r="Q196" s="55"/>
      <c r="R196" s="55"/>
      <c r="S196" s="55"/>
      <c r="T196" s="55"/>
      <c r="U196" s="55"/>
      <c r="V196" s="56">
        <v>3000</v>
      </c>
      <c r="W196" s="55"/>
      <c r="X196" s="55"/>
      <c r="Y196" s="55">
        <f t="shared" si="20"/>
        <v>0</v>
      </c>
      <c r="Z196">
        <f t="shared" si="21"/>
        <v>0</v>
      </c>
      <c r="AA196">
        <f t="shared" si="22"/>
        <v>0</v>
      </c>
      <c r="AB196">
        <f t="shared" si="23"/>
        <v>0</v>
      </c>
      <c r="AC196">
        <f t="shared" si="24"/>
        <v>2500</v>
      </c>
      <c r="AD196">
        <f t="shared" si="25"/>
        <v>0</v>
      </c>
      <c r="AE196">
        <f t="shared" si="26"/>
        <v>0</v>
      </c>
      <c r="AF196">
        <f t="shared" si="27"/>
        <v>0</v>
      </c>
      <c r="AG196">
        <f t="shared" si="28"/>
        <v>3000</v>
      </c>
      <c r="AH196">
        <f t="shared" si="29"/>
        <v>0</v>
      </c>
    </row>
    <row r="197" spans="1:34" x14ac:dyDescent="0.35">
      <c r="A197" s="45" t="s">
        <v>23</v>
      </c>
      <c r="B197" s="45">
        <v>2019</v>
      </c>
      <c r="C197" s="45" t="s">
        <v>43</v>
      </c>
      <c r="D197" s="45" t="s">
        <v>69</v>
      </c>
      <c r="E197" s="55"/>
      <c r="F197" s="55"/>
      <c r="G197" s="55"/>
      <c r="H197" s="55">
        <v>1000</v>
      </c>
      <c r="I197" s="55">
        <v>10000</v>
      </c>
      <c r="J197" s="55"/>
      <c r="K197" s="55"/>
      <c r="L197" s="55">
        <v>500</v>
      </c>
      <c r="M197" s="55"/>
      <c r="N197" s="55"/>
      <c r="O197" s="55">
        <v>12000</v>
      </c>
      <c r="P197" s="55"/>
      <c r="Q197" s="55"/>
      <c r="R197" s="55"/>
      <c r="S197" s="55"/>
      <c r="T197" s="55"/>
      <c r="U197" s="55"/>
      <c r="V197" s="55">
        <v>2000</v>
      </c>
      <c r="W197" s="55"/>
      <c r="X197" s="55"/>
      <c r="Y197" s="55">
        <f t="shared" ref="Y197:Y260" si="30">SUM(E197:F197)</f>
        <v>0</v>
      </c>
      <c r="Z197">
        <f t="shared" ref="Z197:Z260" si="31">SUM(G197:H197)</f>
        <v>1000</v>
      </c>
      <c r="AA197">
        <f t="shared" ref="AA197:AA260" si="32">SUM(I197:J197)</f>
        <v>10000</v>
      </c>
      <c r="AB197">
        <f t="shared" ref="AB197:AB260" si="33">SUM(K197:L197)</f>
        <v>500</v>
      </c>
      <c r="AC197">
        <f t="shared" ref="AC197:AC260" si="34">SUM(M197:N197)</f>
        <v>0</v>
      </c>
      <c r="AD197">
        <f t="shared" ref="AD197:AD260" si="35">SUM(O197:P197)</f>
        <v>12000</v>
      </c>
      <c r="AE197">
        <f t="shared" ref="AE197:AE260" si="36">SUM(Q197:R197)</f>
        <v>0</v>
      </c>
      <c r="AF197">
        <f t="shared" ref="AF197:AF260" si="37">SUM(S197:T197)</f>
        <v>0</v>
      </c>
      <c r="AG197">
        <f t="shared" ref="AG197:AG260" si="38">SUM(U197:V197)</f>
        <v>2000</v>
      </c>
      <c r="AH197">
        <f t="shared" ref="AH197:AH260" si="39">SUM(W197:X197)</f>
        <v>0</v>
      </c>
    </row>
    <row r="198" spans="1:34" ht="15.5" x14ac:dyDescent="0.35">
      <c r="A198" s="45" t="s">
        <v>23</v>
      </c>
      <c r="B198" s="45">
        <v>2019</v>
      </c>
      <c r="C198" s="45" t="s">
        <v>65</v>
      </c>
      <c r="D198" s="45" t="s">
        <v>142</v>
      </c>
      <c r="E198" s="55"/>
      <c r="F198" s="55"/>
      <c r="G198" s="55">
        <v>700</v>
      </c>
      <c r="H198" s="55"/>
      <c r="I198" s="55"/>
      <c r="J198" s="59"/>
      <c r="K198" s="55">
        <v>1000</v>
      </c>
      <c r="L198" s="55"/>
      <c r="M198" s="55"/>
      <c r="N198" s="55"/>
      <c r="O198" s="55"/>
      <c r="P198" s="55"/>
      <c r="Q198" s="55"/>
      <c r="R198" s="55"/>
      <c r="S198" s="55"/>
      <c r="T198" s="55"/>
      <c r="U198" s="55">
        <v>1500</v>
      </c>
      <c r="V198" s="55"/>
      <c r="W198" s="55"/>
      <c r="X198" s="55"/>
      <c r="Y198" s="55">
        <f t="shared" si="30"/>
        <v>0</v>
      </c>
      <c r="Z198">
        <f t="shared" si="31"/>
        <v>700</v>
      </c>
      <c r="AA198">
        <f t="shared" si="32"/>
        <v>0</v>
      </c>
      <c r="AB198">
        <f t="shared" si="33"/>
        <v>1000</v>
      </c>
      <c r="AC198">
        <f t="shared" si="34"/>
        <v>0</v>
      </c>
      <c r="AD198">
        <f t="shared" si="35"/>
        <v>0</v>
      </c>
      <c r="AE198">
        <f t="shared" si="36"/>
        <v>0</v>
      </c>
      <c r="AF198">
        <f t="shared" si="37"/>
        <v>0</v>
      </c>
      <c r="AG198">
        <f t="shared" si="38"/>
        <v>1500</v>
      </c>
      <c r="AH198">
        <f t="shared" si="39"/>
        <v>0</v>
      </c>
    </row>
    <row r="199" spans="1:34" ht="15.5" x14ac:dyDescent="0.35">
      <c r="A199" s="45" t="s">
        <v>23</v>
      </c>
      <c r="B199" s="45">
        <v>2019</v>
      </c>
      <c r="C199" s="45" t="s">
        <v>65</v>
      </c>
      <c r="D199" s="45" t="s">
        <v>44</v>
      </c>
      <c r="E199" s="55"/>
      <c r="F199" s="55"/>
      <c r="G199" s="55"/>
      <c r="H199" s="55"/>
      <c r="I199" s="55"/>
      <c r="J199" s="55">
        <v>50</v>
      </c>
      <c r="K199" s="55"/>
      <c r="L199" s="55"/>
      <c r="M199" s="55"/>
      <c r="N199" s="55"/>
      <c r="O199" s="55"/>
      <c r="P199" s="56"/>
      <c r="Q199" s="55"/>
      <c r="R199" s="55"/>
      <c r="S199" s="55"/>
      <c r="T199" s="55">
        <v>300</v>
      </c>
      <c r="U199" s="55"/>
      <c r="V199" s="55"/>
      <c r="W199" s="55"/>
      <c r="X199" s="55">
        <v>2500</v>
      </c>
      <c r="Y199" s="55">
        <f t="shared" si="30"/>
        <v>0</v>
      </c>
      <c r="Z199">
        <f t="shared" si="31"/>
        <v>0</v>
      </c>
      <c r="AA199">
        <f t="shared" si="32"/>
        <v>50</v>
      </c>
      <c r="AB199">
        <f t="shared" si="33"/>
        <v>0</v>
      </c>
      <c r="AC199">
        <f t="shared" si="34"/>
        <v>0</v>
      </c>
      <c r="AD199">
        <f t="shared" si="35"/>
        <v>0</v>
      </c>
      <c r="AE199">
        <f t="shared" si="36"/>
        <v>0</v>
      </c>
      <c r="AF199">
        <f t="shared" si="37"/>
        <v>300</v>
      </c>
      <c r="AG199">
        <f t="shared" si="38"/>
        <v>0</v>
      </c>
      <c r="AH199">
        <f t="shared" si="39"/>
        <v>2500</v>
      </c>
    </row>
    <row r="200" spans="1:34" ht="15.5" x14ac:dyDescent="0.35">
      <c r="A200" s="45" t="s">
        <v>23</v>
      </c>
      <c r="B200" s="45">
        <v>2019</v>
      </c>
      <c r="C200" s="45" t="s">
        <v>43</v>
      </c>
      <c r="D200" s="45" t="s">
        <v>45</v>
      </c>
      <c r="E200" s="55"/>
      <c r="F200" s="55"/>
      <c r="G200" s="55"/>
      <c r="H200" s="55"/>
      <c r="I200" s="55"/>
      <c r="J200" s="55"/>
      <c r="K200" s="56"/>
      <c r="L200" s="55"/>
      <c r="M200" s="55"/>
      <c r="N200" s="55"/>
      <c r="O200" s="55"/>
      <c r="P200" s="55"/>
      <c r="Q200" s="55"/>
      <c r="R200" s="55"/>
      <c r="S200" s="55">
        <v>2500</v>
      </c>
      <c r="T200" s="55"/>
      <c r="U200" s="55"/>
      <c r="V200" s="55"/>
      <c r="W200" s="55">
        <v>500</v>
      </c>
      <c r="X200" s="55"/>
      <c r="Y200" s="55">
        <f t="shared" si="30"/>
        <v>0</v>
      </c>
      <c r="Z200">
        <f t="shared" si="31"/>
        <v>0</v>
      </c>
      <c r="AA200">
        <f t="shared" si="32"/>
        <v>0</v>
      </c>
      <c r="AB200">
        <f t="shared" si="33"/>
        <v>0</v>
      </c>
      <c r="AC200">
        <f t="shared" si="34"/>
        <v>0</v>
      </c>
      <c r="AD200">
        <f t="shared" si="35"/>
        <v>0</v>
      </c>
      <c r="AE200">
        <f t="shared" si="36"/>
        <v>0</v>
      </c>
      <c r="AF200">
        <f t="shared" si="37"/>
        <v>2500</v>
      </c>
      <c r="AG200">
        <f t="shared" si="38"/>
        <v>0</v>
      </c>
      <c r="AH200">
        <f t="shared" si="39"/>
        <v>500</v>
      </c>
    </row>
    <row r="201" spans="1:34" ht="15.5" x14ac:dyDescent="0.35">
      <c r="A201" s="45" t="s">
        <v>23</v>
      </c>
      <c r="B201" s="45">
        <v>2020</v>
      </c>
      <c r="C201" s="45" t="s">
        <v>43</v>
      </c>
      <c r="D201" s="45" t="s">
        <v>44</v>
      </c>
      <c r="E201" s="55"/>
      <c r="F201" s="55"/>
      <c r="G201" s="55"/>
      <c r="H201" s="60"/>
      <c r="I201" s="55"/>
      <c r="J201" s="55"/>
      <c r="K201" s="55"/>
      <c r="L201" s="55"/>
      <c r="M201" s="55"/>
      <c r="N201" s="55"/>
      <c r="O201" s="55">
        <v>300</v>
      </c>
      <c r="P201" s="58"/>
      <c r="Q201" s="55"/>
      <c r="R201" s="55">
        <v>500</v>
      </c>
      <c r="S201" s="55"/>
      <c r="T201" s="55"/>
      <c r="U201" s="55"/>
      <c r="V201" s="55"/>
      <c r="W201" s="55"/>
      <c r="X201" s="55"/>
      <c r="Y201" s="55">
        <f t="shared" si="30"/>
        <v>0</v>
      </c>
      <c r="Z201">
        <f t="shared" si="31"/>
        <v>0</v>
      </c>
      <c r="AA201">
        <f t="shared" si="32"/>
        <v>0</v>
      </c>
      <c r="AB201">
        <f t="shared" si="33"/>
        <v>0</v>
      </c>
      <c r="AC201">
        <f t="shared" si="34"/>
        <v>0</v>
      </c>
      <c r="AD201">
        <f t="shared" si="35"/>
        <v>300</v>
      </c>
      <c r="AE201">
        <f t="shared" si="36"/>
        <v>500</v>
      </c>
      <c r="AF201">
        <f t="shared" si="37"/>
        <v>0</v>
      </c>
      <c r="AG201">
        <f t="shared" si="38"/>
        <v>0</v>
      </c>
      <c r="AH201">
        <f t="shared" si="39"/>
        <v>0</v>
      </c>
    </row>
    <row r="202" spans="1:34" ht="15.5" x14ac:dyDescent="0.35">
      <c r="A202" s="45" t="s">
        <v>23</v>
      </c>
      <c r="B202" s="45">
        <v>2020</v>
      </c>
      <c r="C202" s="45" t="s">
        <v>65</v>
      </c>
      <c r="D202" s="45" t="s">
        <v>45</v>
      </c>
      <c r="E202" s="55"/>
      <c r="F202" s="55"/>
      <c r="G202" s="55"/>
      <c r="H202" s="55"/>
      <c r="I202" s="55"/>
      <c r="J202" s="55"/>
      <c r="K202" s="57"/>
      <c r="L202" s="55"/>
      <c r="M202" s="55"/>
      <c r="N202" s="55">
        <v>2500</v>
      </c>
      <c r="O202" s="55"/>
      <c r="P202" s="55">
        <v>200</v>
      </c>
      <c r="Q202" s="55">
        <v>1000</v>
      </c>
      <c r="R202" s="55"/>
      <c r="S202" s="55"/>
      <c r="T202" s="55"/>
      <c r="U202" s="55"/>
      <c r="V202" s="55"/>
      <c r="W202" s="55"/>
      <c r="X202" s="55"/>
      <c r="Y202" s="55">
        <f t="shared" si="30"/>
        <v>0</v>
      </c>
      <c r="Z202">
        <f t="shared" si="31"/>
        <v>0</v>
      </c>
      <c r="AA202">
        <f t="shared" si="32"/>
        <v>0</v>
      </c>
      <c r="AB202">
        <f t="shared" si="33"/>
        <v>0</v>
      </c>
      <c r="AC202">
        <f t="shared" si="34"/>
        <v>2500</v>
      </c>
      <c r="AD202">
        <f t="shared" si="35"/>
        <v>200</v>
      </c>
      <c r="AE202">
        <f t="shared" si="36"/>
        <v>1000</v>
      </c>
      <c r="AF202">
        <f t="shared" si="37"/>
        <v>0</v>
      </c>
      <c r="AG202">
        <f t="shared" si="38"/>
        <v>0</v>
      </c>
      <c r="AH202">
        <f t="shared" si="39"/>
        <v>0</v>
      </c>
    </row>
    <row r="203" spans="1:34" x14ac:dyDescent="0.35">
      <c r="A203" s="45" t="s">
        <v>23</v>
      </c>
      <c r="B203" s="45">
        <v>2020</v>
      </c>
      <c r="C203" s="45" t="s">
        <v>65</v>
      </c>
      <c r="D203" s="45" t="s">
        <v>44</v>
      </c>
      <c r="E203" s="55"/>
      <c r="F203" s="55"/>
      <c r="G203" s="55"/>
      <c r="H203" s="55"/>
      <c r="I203" s="55"/>
      <c r="J203" s="55">
        <v>10000</v>
      </c>
      <c r="K203" s="55"/>
      <c r="L203" s="55"/>
      <c r="M203" s="55">
        <v>500</v>
      </c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55">
        <f t="shared" si="30"/>
        <v>0</v>
      </c>
      <c r="Z203">
        <f t="shared" si="31"/>
        <v>0</v>
      </c>
      <c r="AA203">
        <f t="shared" si="32"/>
        <v>10000</v>
      </c>
      <c r="AB203">
        <f t="shared" si="33"/>
        <v>0</v>
      </c>
      <c r="AC203">
        <f t="shared" si="34"/>
        <v>500</v>
      </c>
      <c r="AD203">
        <f t="shared" si="35"/>
        <v>0</v>
      </c>
      <c r="AE203">
        <f t="shared" si="36"/>
        <v>0</v>
      </c>
      <c r="AF203">
        <f t="shared" si="37"/>
        <v>0</v>
      </c>
      <c r="AG203">
        <f t="shared" si="38"/>
        <v>0</v>
      </c>
      <c r="AH203">
        <f t="shared" si="39"/>
        <v>0</v>
      </c>
    </row>
    <row r="204" spans="1:34" ht="15.5" x14ac:dyDescent="0.35">
      <c r="A204" s="45" t="s">
        <v>23</v>
      </c>
      <c r="B204" s="45">
        <v>2020</v>
      </c>
      <c r="C204" s="45" t="s">
        <v>43</v>
      </c>
      <c r="D204" s="45" t="s">
        <v>45</v>
      </c>
      <c r="E204" s="55"/>
      <c r="F204" s="55"/>
      <c r="G204" s="55">
        <v>2500</v>
      </c>
      <c r="H204" s="55"/>
      <c r="I204" s="55"/>
      <c r="J204" s="55"/>
      <c r="K204" s="59"/>
      <c r="L204" s="55">
        <v>1000</v>
      </c>
      <c r="M204" s="55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>
        <f t="shared" si="30"/>
        <v>0</v>
      </c>
      <c r="Z204">
        <f t="shared" si="31"/>
        <v>2500</v>
      </c>
      <c r="AA204">
        <f t="shared" si="32"/>
        <v>0</v>
      </c>
      <c r="AB204">
        <f t="shared" si="33"/>
        <v>1000</v>
      </c>
      <c r="AC204">
        <f t="shared" si="34"/>
        <v>0</v>
      </c>
      <c r="AD204">
        <f t="shared" si="35"/>
        <v>0</v>
      </c>
      <c r="AE204">
        <f t="shared" si="36"/>
        <v>0</v>
      </c>
      <c r="AF204">
        <f t="shared" si="37"/>
        <v>0</v>
      </c>
      <c r="AG204">
        <f t="shared" si="38"/>
        <v>0</v>
      </c>
      <c r="AH204">
        <f t="shared" si="39"/>
        <v>0</v>
      </c>
    </row>
    <row r="205" spans="1:34" ht="15.5" x14ac:dyDescent="0.35">
      <c r="A205" s="45" t="s">
        <v>23</v>
      </c>
      <c r="B205" s="45">
        <v>2020</v>
      </c>
      <c r="C205" s="45" t="s">
        <v>43</v>
      </c>
      <c r="D205" s="45" t="s">
        <v>46</v>
      </c>
      <c r="E205" s="55"/>
      <c r="F205" s="55">
        <v>500</v>
      </c>
      <c r="G205" s="55"/>
      <c r="H205" s="55"/>
      <c r="I205" s="55"/>
      <c r="J205" s="55"/>
      <c r="K205" s="55">
        <v>50</v>
      </c>
      <c r="L205" s="55"/>
      <c r="M205" s="55"/>
      <c r="N205" s="55"/>
      <c r="O205" s="55"/>
      <c r="P205" s="55"/>
      <c r="Q205" s="55"/>
      <c r="R205" s="55"/>
      <c r="S205" s="55"/>
      <c r="T205" s="56"/>
      <c r="U205" s="55"/>
      <c r="V205" s="55"/>
      <c r="W205" s="55"/>
      <c r="X205" s="55"/>
      <c r="Y205" s="55">
        <f t="shared" si="30"/>
        <v>500</v>
      </c>
      <c r="Z205">
        <f t="shared" si="31"/>
        <v>0</v>
      </c>
      <c r="AA205">
        <f t="shared" si="32"/>
        <v>0</v>
      </c>
      <c r="AB205">
        <f t="shared" si="33"/>
        <v>50</v>
      </c>
      <c r="AC205">
        <f t="shared" si="34"/>
        <v>0</v>
      </c>
      <c r="AD205">
        <f t="shared" si="35"/>
        <v>0</v>
      </c>
      <c r="AE205">
        <f t="shared" si="36"/>
        <v>0</v>
      </c>
      <c r="AF205">
        <f t="shared" si="37"/>
        <v>0</v>
      </c>
      <c r="AG205">
        <f t="shared" si="38"/>
        <v>0</v>
      </c>
      <c r="AH205">
        <f t="shared" si="39"/>
        <v>0</v>
      </c>
    </row>
    <row r="206" spans="1:34" x14ac:dyDescent="0.35">
      <c r="A206" s="45" t="s">
        <v>23</v>
      </c>
      <c r="B206" s="45">
        <v>2020</v>
      </c>
      <c r="C206" s="45" t="s">
        <v>65</v>
      </c>
      <c r="D206" s="45" t="s">
        <v>46</v>
      </c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>
        <v>150</v>
      </c>
      <c r="U206" s="55"/>
      <c r="V206" s="55"/>
      <c r="W206" s="55"/>
      <c r="X206" s="55"/>
      <c r="Y206" s="55">
        <f t="shared" si="30"/>
        <v>0</v>
      </c>
      <c r="Z206">
        <f t="shared" si="31"/>
        <v>0</v>
      </c>
      <c r="AA206">
        <f t="shared" si="32"/>
        <v>0</v>
      </c>
      <c r="AB206">
        <f t="shared" si="33"/>
        <v>0</v>
      </c>
      <c r="AC206">
        <f t="shared" si="34"/>
        <v>0</v>
      </c>
      <c r="AD206">
        <f t="shared" si="35"/>
        <v>0</v>
      </c>
      <c r="AE206">
        <f t="shared" si="36"/>
        <v>0</v>
      </c>
      <c r="AF206">
        <f t="shared" si="37"/>
        <v>150</v>
      </c>
      <c r="AG206">
        <f t="shared" si="38"/>
        <v>0</v>
      </c>
      <c r="AH206">
        <f t="shared" si="39"/>
        <v>0</v>
      </c>
    </row>
    <row r="207" spans="1:34" ht="15.5" x14ac:dyDescent="0.35">
      <c r="A207" s="45" t="s">
        <v>23</v>
      </c>
      <c r="B207" s="45">
        <v>2020</v>
      </c>
      <c r="C207" s="45" t="s">
        <v>65</v>
      </c>
      <c r="D207" s="45" t="s">
        <v>139</v>
      </c>
      <c r="E207" s="55"/>
      <c r="F207" s="55"/>
      <c r="G207" s="55"/>
      <c r="H207" s="55"/>
      <c r="I207" s="55"/>
      <c r="J207" s="55"/>
      <c r="K207" s="59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55">
        <v>340</v>
      </c>
      <c r="W207" s="55"/>
      <c r="X207" s="55"/>
      <c r="Y207" s="55">
        <f t="shared" si="30"/>
        <v>0</v>
      </c>
      <c r="Z207">
        <f t="shared" si="31"/>
        <v>0</v>
      </c>
      <c r="AA207">
        <f t="shared" si="32"/>
        <v>0</v>
      </c>
      <c r="AB207">
        <f t="shared" si="33"/>
        <v>0</v>
      </c>
      <c r="AC207">
        <f t="shared" si="34"/>
        <v>0</v>
      </c>
      <c r="AD207">
        <f t="shared" si="35"/>
        <v>0</v>
      </c>
      <c r="AE207">
        <f t="shared" si="36"/>
        <v>0</v>
      </c>
      <c r="AF207">
        <f t="shared" si="37"/>
        <v>0</v>
      </c>
      <c r="AG207">
        <f t="shared" si="38"/>
        <v>340</v>
      </c>
      <c r="AH207">
        <f t="shared" si="39"/>
        <v>0</v>
      </c>
    </row>
    <row r="208" spans="1:34" ht="15.5" x14ac:dyDescent="0.35">
      <c r="A208" s="45" t="s">
        <v>23</v>
      </c>
      <c r="B208" s="45">
        <v>2021</v>
      </c>
      <c r="C208" s="45" t="s">
        <v>43</v>
      </c>
      <c r="D208" s="45" t="s">
        <v>139</v>
      </c>
      <c r="E208" s="55"/>
      <c r="F208" s="55">
        <v>500</v>
      </c>
      <c r="G208" s="55"/>
      <c r="H208" s="55"/>
      <c r="I208" s="55"/>
      <c r="J208" s="55"/>
      <c r="K208" s="55"/>
      <c r="L208" s="55"/>
      <c r="M208" s="55"/>
      <c r="N208" s="55"/>
      <c r="O208" s="55">
        <v>300</v>
      </c>
      <c r="P208" s="55"/>
      <c r="Q208" s="55"/>
      <c r="R208" s="56"/>
      <c r="S208" s="55"/>
      <c r="T208" s="55"/>
      <c r="U208" s="55"/>
      <c r="V208" s="55"/>
      <c r="W208" s="55"/>
      <c r="X208" s="55"/>
      <c r="Y208" s="55">
        <f t="shared" si="30"/>
        <v>500</v>
      </c>
      <c r="Z208">
        <f t="shared" si="31"/>
        <v>0</v>
      </c>
      <c r="AA208">
        <f t="shared" si="32"/>
        <v>0</v>
      </c>
      <c r="AB208">
        <f t="shared" si="33"/>
        <v>0</v>
      </c>
      <c r="AC208">
        <f t="shared" si="34"/>
        <v>0</v>
      </c>
      <c r="AD208">
        <f t="shared" si="35"/>
        <v>300</v>
      </c>
      <c r="AE208">
        <f t="shared" si="36"/>
        <v>0</v>
      </c>
      <c r="AF208">
        <f t="shared" si="37"/>
        <v>0</v>
      </c>
      <c r="AG208">
        <f t="shared" si="38"/>
        <v>0</v>
      </c>
      <c r="AH208">
        <f t="shared" si="39"/>
        <v>0</v>
      </c>
    </row>
    <row r="209" spans="1:34" ht="15.5" x14ac:dyDescent="0.35">
      <c r="A209" s="45" t="s">
        <v>23</v>
      </c>
      <c r="B209" s="45">
        <v>2021</v>
      </c>
      <c r="C209" s="45" t="s">
        <v>43</v>
      </c>
      <c r="D209" s="45" t="s">
        <v>69</v>
      </c>
      <c r="E209" s="55"/>
      <c r="F209" s="55"/>
      <c r="G209" s="55"/>
      <c r="H209" s="55"/>
      <c r="I209" s="55"/>
      <c r="J209" s="59"/>
      <c r="K209" s="55"/>
      <c r="L209" s="55">
        <v>300</v>
      </c>
      <c r="M209" s="55"/>
      <c r="N209" s="55">
        <v>2000</v>
      </c>
      <c r="O209" s="55"/>
      <c r="P209" s="55"/>
      <c r="Q209" s="55"/>
      <c r="R209" s="55"/>
      <c r="S209" s="55"/>
      <c r="T209" s="55"/>
      <c r="U209" s="55"/>
      <c r="V209" s="55">
        <v>300</v>
      </c>
      <c r="W209" s="55"/>
      <c r="X209" s="55"/>
      <c r="Y209" s="55">
        <f t="shared" si="30"/>
        <v>0</v>
      </c>
      <c r="Z209">
        <f t="shared" si="31"/>
        <v>0</v>
      </c>
      <c r="AA209">
        <f t="shared" si="32"/>
        <v>0</v>
      </c>
      <c r="AB209">
        <f t="shared" si="33"/>
        <v>300</v>
      </c>
      <c r="AC209">
        <f t="shared" si="34"/>
        <v>2000</v>
      </c>
      <c r="AD209">
        <f t="shared" si="35"/>
        <v>0</v>
      </c>
      <c r="AE209">
        <f t="shared" si="36"/>
        <v>0</v>
      </c>
      <c r="AF209">
        <f t="shared" si="37"/>
        <v>0</v>
      </c>
      <c r="AG209">
        <f t="shared" si="38"/>
        <v>300</v>
      </c>
      <c r="AH209">
        <f t="shared" si="39"/>
        <v>0</v>
      </c>
    </row>
    <row r="210" spans="1:34" ht="15.5" x14ac:dyDescent="0.35">
      <c r="A210" s="45" t="s">
        <v>23</v>
      </c>
      <c r="B210" s="45">
        <v>2021</v>
      </c>
      <c r="C210" s="45" t="s">
        <v>65</v>
      </c>
      <c r="D210" s="45" t="s">
        <v>140</v>
      </c>
      <c r="E210" s="55">
        <v>500</v>
      </c>
      <c r="F210" s="55"/>
      <c r="G210" s="55"/>
      <c r="H210" s="55"/>
      <c r="I210" s="55"/>
      <c r="J210" s="55"/>
      <c r="K210" s="55">
        <v>2500</v>
      </c>
      <c r="L210" s="55"/>
      <c r="M210" s="55"/>
      <c r="N210" s="55"/>
      <c r="O210" s="55"/>
      <c r="P210" s="55"/>
      <c r="Q210" s="55"/>
      <c r="R210" s="57"/>
      <c r="S210" s="55"/>
      <c r="T210" s="55"/>
      <c r="U210" s="55">
        <v>2500</v>
      </c>
      <c r="V210" s="55"/>
      <c r="W210" s="55"/>
      <c r="X210" s="55"/>
      <c r="Y210" s="55">
        <f t="shared" si="30"/>
        <v>500</v>
      </c>
      <c r="Z210">
        <f t="shared" si="31"/>
        <v>0</v>
      </c>
      <c r="AA210">
        <f t="shared" si="32"/>
        <v>0</v>
      </c>
      <c r="AB210">
        <f t="shared" si="33"/>
        <v>2500</v>
      </c>
      <c r="AC210">
        <f t="shared" si="34"/>
        <v>0</v>
      </c>
      <c r="AD210">
        <f t="shared" si="35"/>
        <v>0</v>
      </c>
      <c r="AE210">
        <f t="shared" si="36"/>
        <v>0</v>
      </c>
      <c r="AF210">
        <f t="shared" si="37"/>
        <v>0</v>
      </c>
      <c r="AG210">
        <f t="shared" si="38"/>
        <v>2500</v>
      </c>
      <c r="AH210">
        <f t="shared" si="39"/>
        <v>0</v>
      </c>
    </row>
    <row r="211" spans="1:34" x14ac:dyDescent="0.35">
      <c r="A211" s="45" t="s">
        <v>23</v>
      </c>
      <c r="B211" s="45">
        <v>2021</v>
      </c>
      <c r="C211" s="45" t="s">
        <v>65</v>
      </c>
      <c r="D211" s="45" t="s">
        <v>141</v>
      </c>
      <c r="E211" s="55">
        <v>300</v>
      </c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>
        <v>1000</v>
      </c>
      <c r="Q211" s="55">
        <v>10000</v>
      </c>
      <c r="R211" s="55"/>
      <c r="S211" s="55"/>
      <c r="T211" s="55">
        <v>500</v>
      </c>
      <c r="U211" s="55"/>
      <c r="V211" s="55"/>
      <c r="W211" s="55"/>
      <c r="X211" s="55">
        <v>12000</v>
      </c>
      <c r="Y211" s="55">
        <f t="shared" si="30"/>
        <v>300</v>
      </c>
      <c r="Z211">
        <f t="shared" si="31"/>
        <v>0</v>
      </c>
      <c r="AA211">
        <f t="shared" si="32"/>
        <v>0</v>
      </c>
      <c r="AB211">
        <f t="shared" si="33"/>
        <v>0</v>
      </c>
      <c r="AC211">
        <f t="shared" si="34"/>
        <v>0</v>
      </c>
      <c r="AD211">
        <f t="shared" si="35"/>
        <v>1000</v>
      </c>
      <c r="AE211">
        <f t="shared" si="36"/>
        <v>10000</v>
      </c>
      <c r="AF211">
        <f t="shared" si="37"/>
        <v>500</v>
      </c>
      <c r="AG211">
        <f t="shared" si="38"/>
        <v>0</v>
      </c>
      <c r="AH211">
        <f t="shared" si="39"/>
        <v>12000</v>
      </c>
    </row>
    <row r="212" spans="1:34" ht="15.5" x14ac:dyDescent="0.35">
      <c r="A212" s="45" t="s">
        <v>23</v>
      </c>
      <c r="B212" s="45">
        <v>2021</v>
      </c>
      <c r="C212" s="45" t="s">
        <v>43</v>
      </c>
      <c r="D212" s="45" t="s">
        <v>69</v>
      </c>
      <c r="E212" s="55"/>
      <c r="F212" s="55"/>
      <c r="G212" s="55">
        <v>2000</v>
      </c>
      <c r="H212" s="55">
        <v>1500</v>
      </c>
      <c r="I212" s="55"/>
      <c r="J212" s="55">
        <v>300</v>
      </c>
      <c r="K212" s="55"/>
      <c r="L212" s="55"/>
      <c r="M212" s="55"/>
      <c r="N212" s="55"/>
      <c r="O212" s="55">
        <v>700</v>
      </c>
      <c r="P212" s="55"/>
      <c r="Q212" s="55"/>
      <c r="R212" s="59"/>
      <c r="S212" s="55">
        <v>1000</v>
      </c>
      <c r="T212" s="55"/>
      <c r="U212" s="55"/>
      <c r="V212" s="55"/>
      <c r="W212" s="55"/>
      <c r="X212" s="55"/>
      <c r="Y212" s="55">
        <f t="shared" si="30"/>
        <v>0</v>
      </c>
      <c r="Z212">
        <f t="shared" si="31"/>
        <v>3500</v>
      </c>
      <c r="AA212">
        <f t="shared" si="32"/>
        <v>300</v>
      </c>
      <c r="AB212">
        <f t="shared" si="33"/>
        <v>0</v>
      </c>
      <c r="AC212">
        <f t="shared" si="34"/>
        <v>0</v>
      </c>
      <c r="AD212">
        <f t="shared" si="35"/>
        <v>700</v>
      </c>
      <c r="AE212">
        <f t="shared" si="36"/>
        <v>0</v>
      </c>
      <c r="AF212">
        <f t="shared" si="37"/>
        <v>1000</v>
      </c>
      <c r="AG212">
        <f t="shared" si="38"/>
        <v>0</v>
      </c>
      <c r="AH212">
        <f t="shared" si="39"/>
        <v>0</v>
      </c>
    </row>
    <row r="213" spans="1:34" ht="15.5" x14ac:dyDescent="0.35">
      <c r="A213" s="45" t="s">
        <v>23</v>
      </c>
      <c r="B213" s="45">
        <v>2021</v>
      </c>
      <c r="C213" s="45" t="s">
        <v>43</v>
      </c>
      <c r="D213" s="45" t="s">
        <v>142</v>
      </c>
      <c r="E213" s="55"/>
      <c r="F213" s="55"/>
      <c r="G213" s="55"/>
      <c r="H213" s="55"/>
      <c r="I213" s="55"/>
      <c r="J213" s="56">
        <v>3000</v>
      </c>
      <c r="K213" s="55"/>
      <c r="L213" s="55"/>
      <c r="M213" s="55">
        <v>1000</v>
      </c>
      <c r="N213" s="55"/>
      <c r="O213" s="55"/>
      <c r="P213" s="55"/>
      <c r="Q213" s="55"/>
      <c r="R213" s="55">
        <v>50</v>
      </c>
      <c r="S213" s="55"/>
      <c r="T213" s="55"/>
      <c r="U213" s="55"/>
      <c r="V213" s="55"/>
      <c r="W213" s="55"/>
      <c r="X213" s="55"/>
      <c r="Y213" s="55">
        <f t="shared" si="30"/>
        <v>0</v>
      </c>
      <c r="Z213">
        <f t="shared" si="31"/>
        <v>0</v>
      </c>
      <c r="AA213">
        <f t="shared" si="32"/>
        <v>3000</v>
      </c>
      <c r="AB213">
        <f t="shared" si="33"/>
        <v>0</v>
      </c>
      <c r="AC213">
        <f t="shared" si="34"/>
        <v>1000</v>
      </c>
      <c r="AD213">
        <f t="shared" si="35"/>
        <v>0</v>
      </c>
      <c r="AE213">
        <f t="shared" si="36"/>
        <v>50</v>
      </c>
      <c r="AF213">
        <f t="shared" si="37"/>
        <v>0</v>
      </c>
      <c r="AG213">
        <f t="shared" si="38"/>
        <v>0</v>
      </c>
      <c r="AH213">
        <f t="shared" si="39"/>
        <v>0</v>
      </c>
    </row>
    <row r="214" spans="1:34" ht="15.5" x14ac:dyDescent="0.35">
      <c r="A214" s="45" t="s">
        <v>23</v>
      </c>
      <c r="B214" s="45">
        <v>2021</v>
      </c>
      <c r="C214" s="45" t="s">
        <v>65</v>
      </c>
      <c r="D214" s="45" t="s">
        <v>44</v>
      </c>
      <c r="E214" s="55"/>
      <c r="F214" s="55"/>
      <c r="G214" s="55"/>
      <c r="H214" s="55"/>
      <c r="I214" s="55"/>
      <c r="J214" s="55">
        <v>2000</v>
      </c>
      <c r="K214" s="55"/>
      <c r="L214" s="55"/>
      <c r="M214" s="55"/>
      <c r="N214" s="55"/>
      <c r="O214" s="55"/>
      <c r="P214" s="55"/>
      <c r="Q214" s="55"/>
      <c r="R214" s="55"/>
      <c r="S214" s="56"/>
      <c r="T214" s="55"/>
      <c r="U214" s="55"/>
      <c r="V214" s="55"/>
      <c r="W214" s="55"/>
      <c r="X214" s="55"/>
      <c r="Y214" s="55">
        <f t="shared" si="30"/>
        <v>0</v>
      </c>
      <c r="Z214">
        <f t="shared" si="31"/>
        <v>0</v>
      </c>
      <c r="AA214">
        <f t="shared" si="32"/>
        <v>2000</v>
      </c>
      <c r="AB214">
        <f t="shared" si="33"/>
        <v>0</v>
      </c>
      <c r="AC214">
        <f t="shared" si="34"/>
        <v>0</v>
      </c>
      <c r="AD214">
        <f t="shared" si="35"/>
        <v>0</v>
      </c>
      <c r="AE214">
        <f t="shared" si="36"/>
        <v>0</v>
      </c>
      <c r="AF214">
        <f t="shared" si="37"/>
        <v>0</v>
      </c>
      <c r="AG214">
        <f t="shared" si="38"/>
        <v>0</v>
      </c>
      <c r="AH214">
        <f t="shared" si="39"/>
        <v>0</v>
      </c>
    </row>
    <row r="215" spans="1:34" ht="15.5" x14ac:dyDescent="0.35">
      <c r="A215" s="45" t="s">
        <v>23</v>
      </c>
      <c r="B215" s="45">
        <v>2021</v>
      </c>
      <c r="C215" s="45" t="s">
        <v>65</v>
      </c>
      <c r="D215" s="45" t="s">
        <v>45</v>
      </c>
      <c r="E215" s="55"/>
      <c r="F215" s="55"/>
      <c r="G215" s="55"/>
      <c r="H215" s="55"/>
      <c r="I215" s="55">
        <v>1500</v>
      </c>
      <c r="J215" s="55"/>
      <c r="K215" s="55"/>
      <c r="L215" s="55"/>
      <c r="M215" s="55"/>
      <c r="N215" s="55"/>
      <c r="O215" s="55"/>
      <c r="P215" s="60"/>
      <c r="Q215" s="55"/>
      <c r="R215" s="55"/>
      <c r="S215" s="55"/>
      <c r="T215" s="55"/>
      <c r="U215" s="55"/>
      <c r="V215" s="55"/>
      <c r="W215" s="55">
        <v>300</v>
      </c>
      <c r="X215" s="55"/>
      <c r="Y215" s="55">
        <f t="shared" si="30"/>
        <v>0</v>
      </c>
      <c r="Z215">
        <f t="shared" si="31"/>
        <v>0</v>
      </c>
      <c r="AA215">
        <f t="shared" si="32"/>
        <v>1500</v>
      </c>
      <c r="AB215">
        <f t="shared" si="33"/>
        <v>0</v>
      </c>
      <c r="AC215">
        <f t="shared" si="34"/>
        <v>0</v>
      </c>
      <c r="AD215">
        <f t="shared" si="35"/>
        <v>0</v>
      </c>
      <c r="AE215">
        <f t="shared" si="36"/>
        <v>0</v>
      </c>
      <c r="AF215">
        <f t="shared" si="37"/>
        <v>0</v>
      </c>
      <c r="AG215">
        <f t="shared" si="38"/>
        <v>0</v>
      </c>
      <c r="AH215">
        <f t="shared" si="39"/>
        <v>300</v>
      </c>
    </row>
    <row r="216" spans="1:34" ht="15.5" x14ac:dyDescent="0.35">
      <c r="A216" s="45" t="s">
        <v>23</v>
      </c>
      <c r="B216" s="45">
        <v>2021</v>
      </c>
      <c r="C216" s="45" t="s">
        <v>43</v>
      </c>
      <c r="D216" s="45" t="s">
        <v>44</v>
      </c>
      <c r="E216" s="55"/>
      <c r="F216" s="55"/>
      <c r="G216" s="55"/>
      <c r="H216" s="55">
        <v>300</v>
      </c>
      <c r="I216" s="55"/>
      <c r="J216" s="55"/>
      <c r="K216" s="55"/>
      <c r="L216" s="55">
        <v>2500</v>
      </c>
      <c r="M216" s="55"/>
      <c r="N216" s="55"/>
      <c r="O216" s="55"/>
      <c r="P216" s="55"/>
      <c r="Q216" s="55"/>
      <c r="R216" s="55"/>
      <c r="S216" s="57"/>
      <c r="T216" s="55"/>
      <c r="U216" s="55"/>
      <c r="V216" s="55">
        <v>2500</v>
      </c>
      <c r="W216" s="55"/>
      <c r="X216" s="55"/>
      <c r="Y216" s="55">
        <f t="shared" si="30"/>
        <v>0</v>
      </c>
      <c r="Z216">
        <f t="shared" si="31"/>
        <v>300</v>
      </c>
      <c r="AA216">
        <f t="shared" si="32"/>
        <v>0</v>
      </c>
      <c r="AB216">
        <f t="shared" si="33"/>
        <v>2500</v>
      </c>
      <c r="AC216">
        <f t="shared" si="34"/>
        <v>0</v>
      </c>
      <c r="AD216">
        <f t="shared" si="35"/>
        <v>0</v>
      </c>
      <c r="AE216">
        <f t="shared" si="36"/>
        <v>0</v>
      </c>
      <c r="AF216">
        <f t="shared" si="37"/>
        <v>0</v>
      </c>
      <c r="AG216">
        <f t="shared" si="38"/>
        <v>2500</v>
      </c>
      <c r="AH216">
        <f t="shared" si="39"/>
        <v>0</v>
      </c>
    </row>
    <row r="217" spans="1:34" x14ac:dyDescent="0.35">
      <c r="A217" s="45" t="s">
        <v>23</v>
      </c>
      <c r="B217" s="45">
        <v>2021</v>
      </c>
      <c r="C217" s="45" t="s">
        <v>43</v>
      </c>
      <c r="D217" s="45" t="s">
        <v>45</v>
      </c>
      <c r="E217" s="55"/>
      <c r="F217" s="55"/>
      <c r="G217" s="55">
        <v>2500</v>
      </c>
      <c r="H217" s="55"/>
      <c r="I217" s="55"/>
      <c r="J217" s="55"/>
      <c r="K217" s="55">
        <v>500</v>
      </c>
      <c r="L217" s="55"/>
      <c r="M217" s="55"/>
      <c r="N217" s="55"/>
      <c r="O217" s="55"/>
      <c r="P217" s="55"/>
      <c r="Q217" s="55"/>
      <c r="R217" s="55">
        <v>10000</v>
      </c>
      <c r="S217" s="55"/>
      <c r="T217" s="55"/>
      <c r="U217" s="55">
        <v>500</v>
      </c>
      <c r="V217" s="55"/>
      <c r="W217" s="55"/>
      <c r="X217" s="55"/>
      <c r="Y217" s="55">
        <f t="shared" si="30"/>
        <v>0</v>
      </c>
      <c r="Z217">
        <f t="shared" si="31"/>
        <v>2500</v>
      </c>
      <c r="AA217">
        <f t="shared" si="32"/>
        <v>0</v>
      </c>
      <c r="AB217">
        <f t="shared" si="33"/>
        <v>500</v>
      </c>
      <c r="AC217">
        <f t="shared" si="34"/>
        <v>0</v>
      </c>
      <c r="AD217">
        <f t="shared" si="35"/>
        <v>0</v>
      </c>
      <c r="AE217">
        <f t="shared" si="36"/>
        <v>10000</v>
      </c>
      <c r="AF217">
        <f t="shared" si="37"/>
        <v>0</v>
      </c>
      <c r="AG217">
        <f t="shared" si="38"/>
        <v>500</v>
      </c>
      <c r="AH217">
        <f t="shared" si="39"/>
        <v>0</v>
      </c>
    </row>
    <row r="218" spans="1:34" ht="15.5" x14ac:dyDescent="0.35">
      <c r="A218" s="45" t="s">
        <v>23</v>
      </c>
      <c r="B218" s="45">
        <v>2021</v>
      </c>
      <c r="C218" s="45" t="s">
        <v>65</v>
      </c>
      <c r="D218" s="45" t="s">
        <v>44</v>
      </c>
      <c r="E218" s="55"/>
      <c r="F218" s="55">
        <v>500</v>
      </c>
      <c r="G218" s="55"/>
      <c r="H218" s="55"/>
      <c r="I218" s="55"/>
      <c r="J218" s="55"/>
      <c r="K218" s="55"/>
      <c r="L218" s="55"/>
      <c r="M218" s="55"/>
      <c r="N218" s="55"/>
      <c r="O218" s="55">
        <v>2500</v>
      </c>
      <c r="P218" s="55"/>
      <c r="Q218" s="55"/>
      <c r="R218" s="55"/>
      <c r="S218" s="59"/>
      <c r="T218" s="55">
        <v>1000</v>
      </c>
      <c r="U218" s="55"/>
      <c r="V218" s="55"/>
      <c r="W218" s="55"/>
      <c r="X218" s="55"/>
      <c r="Y218" s="55">
        <f t="shared" si="30"/>
        <v>500</v>
      </c>
      <c r="Z218">
        <f t="shared" si="31"/>
        <v>0</v>
      </c>
      <c r="AA218">
        <f t="shared" si="32"/>
        <v>0</v>
      </c>
      <c r="AB218">
        <f t="shared" si="33"/>
        <v>0</v>
      </c>
      <c r="AC218">
        <f t="shared" si="34"/>
        <v>0</v>
      </c>
      <c r="AD218">
        <f t="shared" si="35"/>
        <v>2500</v>
      </c>
      <c r="AE218">
        <f t="shared" si="36"/>
        <v>0</v>
      </c>
      <c r="AF218">
        <f t="shared" si="37"/>
        <v>1000</v>
      </c>
      <c r="AG218">
        <f t="shared" si="38"/>
        <v>0</v>
      </c>
      <c r="AH218">
        <f t="shared" si="39"/>
        <v>0</v>
      </c>
    </row>
    <row r="219" spans="1:34" ht="15.5" x14ac:dyDescent="0.35">
      <c r="A219" s="45" t="s">
        <v>23</v>
      </c>
      <c r="B219" s="45">
        <v>2021</v>
      </c>
      <c r="C219" s="45" t="s">
        <v>65</v>
      </c>
      <c r="D219" s="45" t="s">
        <v>45</v>
      </c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6"/>
      <c r="U219" s="55"/>
      <c r="V219" s="55">
        <v>12000</v>
      </c>
      <c r="W219" s="55">
        <v>2500</v>
      </c>
      <c r="X219" s="55"/>
      <c r="Y219" s="55">
        <f t="shared" si="30"/>
        <v>0</v>
      </c>
      <c r="Z219">
        <f t="shared" si="31"/>
        <v>0</v>
      </c>
      <c r="AA219">
        <f t="shared" si="32"/>
        <v>0</v>
      </c>
      <c r="AB219">
        <f t="shared" si="33"/>
        <v>0</v>
      </c>
      <c r="AC219">
        <f t="shared" si="34"/>
        <v>0</v>
      </c>
      <c r="AD219">
        <f t="shared" si="35"/>
        <v>0</v>
      </c>
      <c r="AE219">
        <f t="shared" si="36"/>
        <v>0</v>
      </c>
      <c r="AF219">
        <f t="shared" si="37"/>
        <v>0</v>
      </c>
      <c r="AG219">
        <f t="shared" si="38"/>
        <v>12000</v>
      </c>
      <c r="AH219">
        <f t="shared" si="39"/>
        <v>2500</v>
      </c>
    </row>
    <row r="220" spans="1:34" x14ac:dyDescent="0.35">
      <c r="A220" s="45" t="s">
        <v>23</v>
      </c>
      <c r="B220" s="45">
        <v>2021</v>
      </c>
      <c r="C220" s="45" t="s">
        <v>43</v>
      </c>
      <c r="D220" s="45" t="s">
        <v>46</v>
      </c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>
        <f t="shared" si="30"/>
        <v>0</v>
      </c>
      <c r="Z220">
        <f t="shared" si="31"/>
        <v>0</v>
      </c>
      <c r="AA220">
        <f t="shared" si="32"/>
        <v>0</v>
      </c>
      <c r="AB220">
        <f t="shared" si="33"/>
        <v>0</v>
      </c>
      <c r="AC220">
        <f t="shared" si="34"/>
        <v>0</v>
      </c>
      <c r="AD220">
        <f t="shared" si="35"/>
        <v>0</v>
      </c>
      <c r="AE220">
        <f t="shared" si="36"/>
        <v>0</v>
      </c>
      <c r="AF220">
        <f t="shared" si="37"/>
        <v>0</v>
      </c>
      <c r="AG220">
        <f t="shared" si="38"/>
        <v>0</v>
      </c>
      <c r="AH220">
        <f t="shared" si="39"/>
        <v>0</v>
      </c>
    </row>
    <row r="221" spans="1:34" ht="15.5" x14ac:dyDescent="0.35">
      <c r="A221" s="45" t="s">
        <v>23</v>
      </c>
      <c r="B221" s="45">
        <v>2021</v>
      </c>
      <c r="C221" s="45" t="s">
        <v>43</v>
      </c>
      <c r="D221" s="45" t="s">
        <v>46</v>
      </c>
      <c r="E221" s="55"/>
      <c r="F221" s="55"/>
      <c r="G221" s="55"/>
      <c r="H221" s="55"/>
      <c r="I221" s="55"/>
      <c r="J221" s="56">
        <v>8175</v>
      </c>
      <c r="K221" s="55"/>
      <c r="L221" s="55"/>
      <c r="M221" s="55"/>
      <c r="N221" s="55"/>
      <c r="O221" s="55"/>
      <c r="P221" s="55"/>
      <c r="Q221" s="55"/>
      <c r="R221" s="55"/>
      <c r="S221" s="55"/>
      <c r="T221" s="56"/>
      <c r="U221" s="55"/>
      <c r="V221" s="55"/>
      <c r="W221" s="55"/>
      <c r="X221" s="55"/>
      <c r="Y221" s="55">
        <f t="shared" si="30"/>
        <v>0</v>
      </c>
      <c r="Z221">
        <f t="shared" si="31"/>
        <v>0</v>
      </c>
      <c r="AA221">
        <f t="shared" si="32"/>
        <v>8175</v>
      </c>
      <c r="AB221">
        <f t="shared" si="33"/>
        <v>0</v>
      </c>
      <c r="AC221">
        <f t="shared" si="34"/>
        <v>0</v>
      </c>
      <c r="AD221">
        <f t="shared" si="35"/>
        <v>0</v>
      </c>
      <c r="AE221">
        <f t="shared" si="36"/>
        <v>0</v>
      </c>
      <c r="AF221">
        <f t="shared" si="37"/>
        <v>0</v>
      </c>
      <c r="AG221">
        <f t="shared" si="38"/>
        <v>0</v>
      </c>
      <c r="AH221">
        <f t="shared" si="39"/>
        <v>0</v>
      </c>
    </row>
    <row r="222" spans="1:34" x14ac:dyDescent="0.35">
      <c r="A222" s="45" t="s">
        <v>23</v>
      </c>
      <c r="B222" s="45">
        <v>2021</v>
      </c>
      <c r="C222" s="45" t="s">
        <v>65</v>
      </c>
      <c r="D222" s="45" t="s">
        <v>139</v>
      </c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>
        <v>2500</v>
      </c>
      <c r="Q222" s="55"/>
      <c r="R222" s="55"/>
      <c r="S222" s="55"/>
      <c r="T222" s="55"/>
      <c r="U222" s="55"/>
      <c r="V222" s="55"/>
      <c r="W222" s="55"/>
      <c r="X222" s="55"/>
      <c r="Y222" s="55">
        <f t="shared" si="30"/>
        <v>0</v>
      </c>
      <c r="Z222">
        <f t="shared" si="31"/>
        <v>0</v>
      </c>
      <c r="AA222">
        <f t="shared" si="32"/>
        <v>0</v>
      </c>
      <c r="AB222">
        <f t="shared" si="33"/>
        <v>0</v>
      </c>
      <c r="AC222">
        <f t="shared" si="34"/>
        <v>0</v>
      </c>
      <c r="AD222">
        <f t="shared" si="35"/>
        <v>2500</v>
      </c>
      <c r="AE222">
        <f t="shared" si="36"/>
        <v>0</v>
      </c>
      <c r="AF222">
        <f t="shared" si="37"/>
        <v>0</v>
      </c>
      <c r="AG222">
        <f t="shared" si="38"/>
        <v>0</v>
      </c>
      <c r="AH222">
        <f t="shared" si="39"/>
        <v>0</v>
      </c>
    </row>
    <row r="223" spans="1:34" x14ac:dyDescent="0.35">
      <c r="A223" s="45" t="s">
        <v>23</v>
      </c>
      <c r="B223" s="45">
        <v>2017</v>
      </c>
      <c r="C223" s="45" t="s">
        <v>65</v>
      </c>
      <c r="D223" s="45" t="s">
        <v>139</v>
      </c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55">
        <v>300</v>
      </c>
      <c r="W223" s="55"/>
      <c r="X223" s="55"/>
      <c r="Y223" s="55">
        <f t="shared" si="30"/>
        <v>0</v>
      </c>
      <c r="Z223">
        <f t="shared" si="31"/>
        <v>0</v>
      </c>
      <c r="AA223">
        <f t="shared" si="32"/>
        <v>0</v>
      </c>
      <c r="AB223">
        <f t="shared" si="33"/>
        <v>0</v>
      </c>
      <c r="AC223">
        <f t="shared" si="34"/>
        <v>0</v>
      </c>
      <c r="AD223">
        <f t="shared" si="35"/>
        <v>0</v>
      </c>
      <c r="AE223">
        <f t="shared" si="36"/>
        <v>0</v>
      </c>
      <c r="AF223">
        <f t="shared" si="37"/>
        <v>0</v>
      </c>
      <c r="AG223">
        <f t="shared" si="38"/>
        <v>300</v>
      </c>
      <c r="AH223">
        <f t="shared" si="39"/>
        <v>0</v>
      </c>
    </row>
    <row r="224" spans="1:34" ht="15.5" x14ac:dyDescent="0.35">
      <c r="A224" s="45" t="s">
        <v>23</v>
      </c>
      <c r="B224" s="45">
        <v>2017</v>
      </c>
      <c r="C224" s="45" t="s">
        <v>43</v>
      </c>
      <c r="D224" s="45" t="s">
        <v>69</v>
      </c>
      <c r="E224" s="55"/>
      <c r="F224" s="55"/>
      <c r="G224" s="55"/>
      <c r="H224" s="55">
        <v>300</v>
      </c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6"/>
      <c r="U224" s="55"/>
      <c r="V224" s="55"/>
      <c r="W224" s="55"/>
      <c r="X224" s="55"/>
      <c r="Y224" s="55">
        <f t="shared" si="30"/>
        <v>0</v>
      </c>
      <c r="Z224">
        <f t="shared" si="31"/>
        <v>300</v>
      </c>
      <c r="AA224">
        <f t="shared" si="32"/>
        <v>0</v>
      </c>
      <c r="AB224">
        <f t="shared" si="33"/>
        <v>0</v>
      </c>
      <c r="AC224">
        <f t="shared" si="34"/>
        <v>0</v>
      </c>
      <c r="AD224">
        <f t="shared" si="35"/>
        <v>0</v>
      </c>
      <c r="AE224">
        <f t="shared" si="36"/>
        <v>0</v>
      </c>
      <c r="AF224">
        <f t="shared" si="37"/>
        <v>0</v>
      </c>
      <c r="AG224">
        <f t="shared" si="38"/>
        <v>0</v>
      </c>
      <c r="AH224">
        <f t="shared" si="39"/>
        <v>0</v>
      </c>
    </row>
    <row r="225" spans="1:34" ht="15.5" x14ac:dyDescent="0.35">
      <c r="A225" s="45" t="s">
        <v>23</v>
      </c>
      <c r="B225" s="45">
        <v>2017</v>
      </c>
      <c r="C225" s="45" t="s">
        <v>43</v>
      </c>
      <c r="D225" s="45" t="s">
        <v>140</v>
      </c>
      <c r="E225" s="55"/>
      <c r="F225" s="55"/>
      <c r="G225" s="55">
        <v>2500</v>
      </c>
      <c r="H225" s="55"/>
      <c r="I225" s="55"/>
      <c r="J225" s="55"/>
      <c r="K225" s="55"/>
      <c r="L225" s="55">
        <v>208</v>
      </c>
      <c r="M225" s="55"/>
      <c r="N225" s="55"/>
      <c r="O225" s="55"/>
      <c r="P225" s="55"/>
      <c r="Q225" s="55"/>
      <c r="R225" s="56"/>
      <c r="S225" s="55"/>
      <c r="T225" s="55"/>
      <c r="U225" s="55"/>
      <c r="V225" s="55"/>
      <c r="W225" s="55"/>
      <c r="X225" s="55"/>
      <c r="Y225" s="55">
        <f t="shared" si="30"/>
        <v>0</v>
      </c>
      <c r="Z225">
        <f t="shared" si="31"/>
        <v>2500</v>
      </c>
      <c r="AA225">
        <f t="shared" si="32"/>
        <v>0</v>
      </c>
      <c r="AB225">
        <f t="shared" si="33"/>
        <v>208</v>
      </c>
      <c r="AC225">
        <f t="shared" si="34"/>
        <v>0</v>
      </c>
      <c r="AD225">
        <f t="shared" si="35"/>
        <v>0</v>
      </c>
      <c r="AE225">
        <f t="shared" si="36"/>
        <v>0</v>
      </c>
      <c r="AF225">
        <f t="shared" si="37"/>
        <v>0</v>
      </c>
      <c r="AG225">
        <f t="shared" si="38"/>
        <v>0</v>
      </c>
      <c r="AH225">
        <f t="shared" si="39"/>
        <v>0</v>
      </c>
    </row>
    <row r="226" spans="1:34" ht="15.5" x14ac:dyDescent="0.35">
      <c r="A226" s="45" t="s">
        <v>23</v>
      </c>
      <c r="B226" s="45">
        <v>2017</v>
      </c>
      <c r="C226" s="45" t="s">
        <v>65</v>
      </c>
      <c r="D226" s="45" t="s">
        <v>141</v>
      </c>
      <c r="E226" s="55"/>
      <c r="F226" s="55">
        <v>500</v>
      </c>
      <c r="G226" s="55"/>
      <c r="H226" s="55"/>
      <c r="I226" s="55"/>
      <c r="J226" s="55"/>
      <c r="K226" s="55"/>
      <c r="L226" s="55"/>
      <c r="M226" s="55">
        <v>510</v>
      </c>
      <c r="N226" s="55"/>
      <c r="O226" s="55"/>
      <c r="P226" s="55"/>
      <c r="Q226" s="55"/>
      <c r="R226" s="56"/>
      <c r="S226" s="55"/>
      <c r="T226" s="55"/>
      <c r="U226" s="55"/>
      <c r="V226" s="55"/>
      <c r="W226" s="55"/>
      <c r="X226" s="55"/>
      <c r="Y226" s="55">
        <f t="shared" si="30"/>
        <v>500</v>
      </c>
      <c r="Z226">
        <f t="shared" si="31"/>
        <v>0</v>
      </c>
      <c r="AA226">
        <f t="shared" si="32"/>
        <v>0</v>
      </c>
      <c r="AB226">
        <f t="shared" si="33"/>
        <v>0</v>
      </c>
      <c r="AC226">
        <f t="shared" si="34"/>
        <v>510</v>
      </c>
      <c r="AD226">
        <f t="shared" si="35"/>
        <v>0</v>
      </c>
      <c r="AE226">
        <f t="shared" si="36"/>
        <v>0</v>
      </c>
      <c r="AF226">
        <f t="shared" si="37"/>
        <v>0</v>
      </c>
      <c r="AG226">
        <f t="shared" si="38"/>
        <v>0</v>
      </c>
      <c r="AH226">
        <f t="shared" si="39"/>
        <v>0</v>
      </c>
    </row>
    <row r="227" spans="1:34" ht="15.5" x14ac:dyDescent="0.35">
      <c r="A227" s="45" t="s">
        <v>23</v>
      </c>
      <c r="B227" s="45">
        <v>2016</v>
      </c>
      <c r="C227" s="45" t="s">
        <v>65</v>
      </c>
      <c r="D227" s="45" t="s">
        <v>69</v>
      </c>
      <c r="E227" s="55">
        <v>1000</v>
      </c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6"/>
      <c r="U227" s="55"/>
      <c r="V227" s="55"/>
      <c r="W227" s="55">
        <v>2000</v>
      </c>
      <c r="X227" s="55"/>
      <c r="Y227" s="55">
        <f t="shared" si="30"/>
        <v>1000</v>
      </c>
      <c r="Z227">
        <f t="shared" si="31"/>
        <v>0</v>
      </c>
      <c r="AA227">
        <f t="shared" si="32"/>
        <v>0</v>
      </c>
      <c r="AB227">
        <f t="shared" si="33"/>
        <v>0</v>
      </c>
      <c r="AC227">
        <f t="shared" si="34"/>
        <v>0</v>
      </c>
      <c r="AD227">
        <f t="shared" si="35"/>
        <v>0</v>
      </c>
      <c r="AE227">
        <f t="shared" si="36"/>
        <v>0</v>
      </c>
      <c r="AF227">
        <f t="shared" si="37"/>
        <v>0</v>
      </c>
      <c r="AG227">
        <f t="shared" si="38"/>
        <v>0</v>
      </c>
      <c r="AH227">
        <f t="shared" si="39"/>
        <v>2000</v>
      </c>
    </row>
    <row r="228" spans="1:34" ht="15.5" x14ac:dyDescent="0.35">
      <c r="A228" s="45" t="s">
        <v>23</v>
      </c>
      <c r="B228" s="45">
        <v>2016</v>
      </c>
      <c r="C228" s="45" t="s">
        <v>43</v>
      </c>
      <c r="D228" s="45" t="s">
        <v>142</v>
      </c>
      <c r="E228" s="55"/>
      <c r="F228" s="55"/>
      <c r="G228" s="55"/>
      <c r="H228" s="55"/>
      <c r="I228" s="55"/>
      <c r="J228" s="55">
        <v>500</v>
      </c>
      <c r="K228" s="55"/>
      <c r="L228" s="55"/>
      <c r="M228" s="55"/>
      <c r="N228" s="55"/>
      <c r="O228" s="55"/>
      <c r="P228" s="55"/>
      <c r="Q228" s="55"/>
      <c r="R228" s="56"/>
      <c r="S228" s="55"/>
      <c r="T228" s="55"/>
      <c r="U228" s="55"/>
      <c r="V228" s="55"/>
      <c r="W228" s="55"/>
      <c r="X228" s="55"/>
      <c r="Y228" s="55">
        <f t="shared" si="30"/>
        <v>0</v>
      </c>
      <c r="Z228">
        <f t="shared" si="31"/>
        <v>0</v>
      </c>
      <c r="AA228">
        <f t="shared" si="32"/>
        <v>500</v>
      </c>
      <c r="AB228">
        <f t="shared" si="33"/>
        <v>0</v>
      </c>
      <c r="AC228">
        <f t="shared" si="34"/>
        <v>0</v>
      </c>
      <c r="AD228">
        <f t="shared" si="35"/>
        <v>0</v>
      </c>
      <c r="AE228">
        <f t="shared" si="36"/>
        <v>0</v>
      </c>
      <c r="AF228">
        <f t="shared" si="37"/>
        <v>0</v>
      </c>
      <c r="AG228">
        <f t="shared" si="38"/>
        <v>0</v>
      </c>
      <c r="AH228">
        <f t="shared" si="39"/>
        <v>0</v>
      </c>
    </row>
    <row r="229" spans="1:34" ht="15.5" x14ac:dyDescent="0.35">
      <c r="A229" s="45" t="s">
        <v>23</v>
      </c>
      <c r="B229" s="45">
        <v>2016</v>
      </c>
      <c r="C229" s="45" t="s">
        <v>43</v>
      </c>
      <c r="D229" s="45" t="s">
        <v>44</v>
      </c>
      <c r="E229" s="55"/>
      <c r="F229" s="55"/>
      <c r="G229" s="55"/>
      <c r="H229" s="55"/>
      <c r="I229" s="55"/>
      <c r="J229" s="55"/>
      <c r="K229" s="56"/>
      <c r="L229" s="55"/>
      <c r="M229" s="55"/>
      <c r="N229" s="55"/>
      <c r="O229" s="55"/>
      <c r="P229" s="55"/>
      <c r="Q229" s="55"/>
      <c r="R229" s="55"/>
      <c r="S229" s="55">
        <v>2500</v>
      </c>
      <c r="T229" s="55"/>
      <c r="U229" s="55"/>
      <c r="V229" s="55"/>
      <c r="W229" s="55">
        <v>500</v>
      </c>
      <c r="X229" s="55"/>
      <c r="Y229" s="55">
        <f t="shared" si="30"/>
        <v>0</v>
      </c>
      <c r="Z229">
        <f t="shared" si="31"/>
        <v>0</v>
      </c>
      <c r="AA229">
        <f t="shared" si="32"/>
        <v>0</v>
      </c>
      <c r="AB229">
        <f t="shared" si="33"/>
        <v>0</v>
      </c>
      <c r="AC229">
        <f t="shared" si="34"/>
        <v>0</v>
      </c>
      <c r="AD229">
        <f t="shared" si="35"/>
        <v>0</v>
      </c>
      <c r="AE229">
        <f t="shared" si="36"/>
        <v>0</v>
      </c>
      <c r="AF229">
        <f t="shared" si="37"/>
        <v>2500</v>
      </c>
      <c r="AG229">
        <f t="shared" si="38"/>
        <v>0</v>
      </c>
      <c r="AH229">
        <f t="shared" si="39"/>
        <v>500</v>
      </c>
    </row>
    <row r="230" spans="1:34" ht="15.5" x14ac:dyDescent="0.35">
      <c r="A230" s="45" t="s">
        <v>23</v>
      </c>
      <c r="B230" s="45">
        <v>2016</v>
      </c>
      <c r="C230" s="45" t="s">
        <v>65</v>
      </c>
      <c r="D230" s="45" t="s">
        <v>45</v>
      </c>
      <c r="E230" s="55"/>
      <c r="F230" s="55"/>
      <c r="G230" s="55"/>
      <c r="H230" s="60"/>
      <c r="I230" s="55"/>
      <c r="J230" s="55"/>
      <c r="K230" s="55"/>
      <c r="L230" s="55"/>
      <c r="M230" s="55"/>
      <c r="N230" s="55"/>
      <c r="O230" s="55">
        <v>300</v>
      </c>
      <c r="P230" s="58"/>
      <c r="Q230" s="55"/>
      <c r="R230" s="55">
        <v>500</v>
      </c>
      <c r="S230" s="55"/>
      <c r="T230" s="55"/>
      <c r="U230" s="55"/>
      <c r="V230" s="55"/>
      <c r="W230" s="55"/>
      <c r="X230" s="55"/>
      <c r="Y230" s="55">
        <f t="shared" si="30"/>
        <v>0</v>
      </c>
      <c r="Z230">
        <f t="shared" si="31"/>
        <v>0</v>
      </c>
      <c r="AA230">
        <f t="shared" si="32"/>
        <v>0</v>
      </c>
      <c r="AB230">
        <f t="shared" si="33"/>
        <v>0</v>
      </c>
      <c r="AC230">
        <f t="shared" si="34"/>
        <v>0</v>
      </c>
      <c r="AD230">
        <f t="shared" si="35"/>
        <v>300</v>
      </c>
      <c r="AE230">
        <f t="shared" si="36"/>
        <v>500</v>
      </c>
      <c r="AF230">
        <f t="shared" si="37"/>
        <v>0</v>
      </c>
      <c r="AG230">
        <f t="shared" si="38"/>
        <v>0</v>
      </c>
      <c r="AH230">
        <f t="shared" si="39"/>
        <v>0</v>
      </c>
    </row>
    <row r="231" spans="1:34" ht="15.5" x14ac:dyDescent="0.35">
      <c r="A231" s="45" t="s">
        <v>23</v>
      </c>
      <c r="B231" s="45">
        <v>2016</v>
      </c>
      <c r="C231" s="45" t="s">
        <v>65</v>
      </c>
      <c r="D231" s="45" t="s">
        <v>44</v>
      </c>
      <c r="E231" s="55"/>
      <c r="F231" s="55"/>
      <c r="G231" s="55"/>
      <c r="H231" s="55"/>
      <c r="I231" s="55"/>
      <c r="J231" s="55"/>
      <c r="K231" s="57"/>
      <c r="L231" s="55"/>
      <c r="M231" s="55"/>
      <c r="N231" s="55">
        <v>2500</v>
      </c>
      <c r="O231" s="55"/>
      <c r="P231" s="55">
        <v>200</v>
      </c>
      <c r="Q231" s="55">
        <v>1000</v>
      </c>
      <c r="R231" s="55"/>
      <c r="S231" s="55"/>
      <c r="T231" s="55"/>
      <c r="U231" s="55"/>
      <c r="V231" s="55"/>
      <c r="W231" s="55"/>
      <c r="X231" s="55"/>
      <c r="Y231" s="55">
        <f t="shared" si="30"/>
        <v>0</v>
      </c>
      <c r="Z231">
        <f t="shared" si="31"/>
        <v>0</v>
      </c>
      <c r="AA231">
        <f t="shared" si="32"/>
        <v>0</v>
      </c>
      <c r="AB231">
        <f t="shared" si="33"/>
        <v>0</v>
      </c>
      <c r="AC231">
        <f t="shared" si="34"/>
        <v>2500</v>
      </c>
      <c r="AD231">
        <f t="shared" si="35"/>
        <v>200</v>
      </c>
      <c r="AE231">
        <f t="shared" si="36"/>
        <v>1000</v>
      </c>
      <c r="AF231">
        <f t="shared" si="37"/>
        <v>0</v>
      </c>
      <c r="AG231">
        <f t="shared" si="38"/>
        <v>0</v>
      </c>
      <c r="AH231">
        <f t="shared" si="39"/>
        <v>0</v>
      </c>
    </row>
    <row r="232" spans="1:34" x14ac:dyDescent="0.35">
      <c r="A232" s="45" t="s">
        <v>23</v>
      </c>
      <c r="B232" s="45">
        <v>2022</v>
      </c>
      <c r="C232" s="45" t="s">
        <v>43</v>
      </c>
      <c r="D232" s="45" t="s">
        <v>45</v>
      </c>
      <c r="E232" s="55"/>
      <c r="F232" s="55"/>
      <c r="G232" s="55"/>
      <c r="H232" s="55"/>
      <c r="I232" s="55"/>
      <c r="J232" s="55">
        <v>10000</v>
      </c>
      <c r="K232" s="55"/>
      <c r="L232" s="55"/>
      <c r="M232" s="55">
        <v>500</v>
      </c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>
        <f t="shared" si="30"/>
        <v>0</v>
      </c>
      <c r="Z232">
        <f t="shared" si="31"/>
        <v>0</v>
      </c>
      <c r="AA232">
        <f t="shared" si="32"/>
        <v>10000</v>
      </c>
      <c r="AB232">
        <f t="shared" si="33"/>
        <v>0</v>
      </c>
      <c r="AC232">
        <f t="shared" si="34"/>
        <v>500</v>
      </c>
      <c r="AD232">
        <f t="shared" si="35"/>
        <v>0</v>
      </c>
      <c r="AE232">
        <f t="shared" si="36"/>
        <v>0</v>
      </c>
      <c r="AF232">
        <f t="shared" si="37"/>
        <v>0</v>
      </c>
      <c r="AG232">
        <f t="shared" si="38"/>
        <v>0</v>
      </c>
      <c r="AH232">
        <f t="shared" si="39"/>
        <v>0</v>
      </c>
    </row>
    <row r="233" spans="1:34" ht="15.5" x14ac:dyDescent="0.35">
      <c r="A233" s="45" t="s">
        <v>23</v>
      </c>
      <c r="B233" s="45">
        <v>2022</v>
      </c>
      <c r="C233" s="45" t="s">
        <v>43</v>
      </c>
      <c r="D233" s="45" t="s">
        <v>44</v>
      </c>
      <c r="E233" s="55"/>
      <c r="F233" s="55"/>
      <c r="G233" s="55">
        <v>2500</v>
      </c>
      <c r="H233" s="55"/>
      <c r="I233" s="55"/>
      <c r="J233" s="55"/>
      <c r="K233" s="59"/>
      <c r="L233" s="55">
        <v>1000</v>
      </c>
      <c r="M233" s="55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>
        <f t="shared" si="30"/>
        <v>0</v>
      </c>
      <c r="Z233">
        <f t="shared" si="31"/>
        <v>2500</v>
      </c>
      <c r="AA233">
        <f t="shared" si="32"/>
        <v>0</v>
      </c>
      <c r="AB233">
        <f t="shared" si="33"/>
        <v>1000</v>
      </c>
      <c r="AC233">
        <f t="shared" si="34"/>
        <v>0</v>
      </c>
      <c r="AD233">
        <f t="shared" si="35"/>
        <v>0</v>
      </c>
      <c r="AE233">
        <f t="shared" si="36"/>
        <v>0</v>
      </c>
      <c r="AF233">
        <f t="shared" si="37"/>
        <v>0</v>
      </c>
      <c r="AG233">
        <f t="shared" si="38"/>
        <v>0</v>
      </c>
      <c r="AH233">
        <f t="shared" si="39"/>
        <v>0</v>
      </c>
    </row>
    <row r="234" spans="1:34" ht="15.5" x14ac:dyDescent="0.35">
      <c r="A234" s="45" t="s">
        <v>23</v>
      </c>
      <c r="B234" s="45">
        <v>2022</v>
      </c>
      <c r="C234" s="45" t="s">
        <v>65</v>
      </c>
      <c r="D234" s="45" t="s">
        <v>45</v>
      </c>
      <c r="E234" s="55"/>
      <c r="F234" s="55">
        <v>500</v>
      </c>
      <c r="G234" s="55"/>
      <c r="H234" s="55"/>
      <c r="I234" s="55"/>
      <c r="J234" s="55"/>
      <c r="K234" s="55">
        <v>50</v>
      </c>
      <c r="L234" s="55"/>
      <c r="M234" s="55"/>
      <c r="N234" s="55"/>
      <c r="O234" s="55"/>
      <c r="P234" s="55"/>
      <c r="Q234" s="55"/>
      <c r="R234" s="55"/>
      <c r="S234" s="55"/>
      <c r="T234" s="56"/>
      <c r="U234" s="55"/>
      <c r="V234" s="55"/>
      <c r="W234" s="55"/>
      <c r="X234" s="55"/>
      <c r="Y234" s="55">
        <f t="shared" si="30"/>
        <v>500</v>
      </c>
      <c r="Z234">
        <f t="shared" si="31"/>
        <v>0</v>
      </c>
      <c r="AA234">
        <f t="shared" si="32"/>
        <v>0</v>
      </c>
      <c r="AB234">
        <f t="shared" si="33"/>
        <v>50</v>
      </c>
      <c r="AC234">
        <f t="shared" si="34"/>
        <v>0</v>
      </c>
      <c r="AD234">
        <f t="shared" si="35"/>
        <v>0</v>
      </c>
      <c r="AE234">
        <f t="shared" si="36"/>
        <v>0</v>
      </c>
      <c r="AF234">
        <f t="shared" si="37"/>
        <v>0</v>
      </c>
      <c r="AG234">
        <f t="shared" si="38"/>
        <v>0</v>
      </c>
      <c r="AH234">
        <f t="shared" si="39"/>
        <v>0</v>
      </c>
    </row>
    <row r="235" spans="1:34" x14ac:dyDescent="0.35">
      <c r="A235" s="45" t="s">
        <v>23</v>
      </c>
      <c r="B235" s="45">
        <v>2022</v>
      </c>
      <c r="C235" s="45" t="s">
        <v>65</v>
      </c>
      <c r="D235" s="45" t="s">
        <v>46</v>
      </c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>
        <v>150</v>
      </c>
      <c r="U235" s="55"/>
      <c r="V235" s="55"/>
      <c r="W235" s="55"/>
      <c r="X235" s="55"/>
      <c r="Y235" s="55">
        <f t="shared" si="30"/>
        <v>0</v>
      </c>
      <c r="Z235">
        <f t="shared" si="31"/>
        <v>0</v>
      </c>
      <c r="AA235">
        <f t="shared" si="32"/>
        <v>0</v>
      </c>
      <c r="AB235">
        <f t="shared" si="33"/>
        <v>0</v>
      </c>
      <c r="AC235">
        <f t="shared" si="34"/>
        <v>0</v>
      </c>
      <c r="AD235">
        <f t="shared" si="35"/>
        <v>0</v>
      </c>
      <c r="AE235">
        <f t="shared" si="36"/>
        <v>0</v>
      </c>
      <c r="AF235">
        <f t="shared" si="37"/>
        <v>150</v>
      </c>
      <c r="AG235">
        <f t="shared" si="38"/>
        <v>0</v>
      </c>
      <c r="AH235">
        <f t="shared" si="39"/>
        <v>0</v>
      </c>
    </row>
    <row r="236" spans="1:34" ht="15.5" x14ac:dyDescent="0.35">
      <c r="A236" s="45" t="s">
        <v>23</v>
      </c>
      <c r="B236" s="45">
        <v>2022</v>
      </c>
      <c r="C236" s="45" t="s">
        <v>43</v>
      </c>
      <c r="D236" s="45" t="s">
        <v>46</v>
      </c>
      <c r="E236" s="55"/>
      <c r="F236" s="55"/>
      <c r="G236" s="55"/>
      <c r="H236" s="55"/>
      <c r="I236" s="55"/>
      <c r="J236" s="55"/>
      <c r="K236" s="59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55">
        <v>340</v>
      </c>
      <c r="W236" s="55"/>
      <c r="X236" s="55"/>
      <c r="Y236" s="55">
        <f t="shared" si="30"/>
        <v>0</v>
      </c>
      <c r="Z236">
        <f t="shared" si="31"/>
        <v>0</v>
      </c>
      <c r="AA236">
        <f t="shared" si="32"/>
        <v>0</v>
      </c>
      <c r="AB236">
        <f t="shared" si="33"/>
        <v>0</v>
      </c>
      <c r="AC236">
        <f t="shared" si="34"/>
        <v>0</v>
      </c>
      <c r="AD236">
        <f t="shared" si="35"/>
        <v>0</v>
      </c>
      <c r="AE236">
        <f t="shared" si="36"/>
        <v>0</v>
      </c>
      <c r="AF236">
        <f t="shared" si="37"/>
        <v>0</v>
      </c>
      <c r="AG236">
        <f t="shared" si="38"/>
        <v>340</v>
      </c>
      <c r="AH236">
        <f t="shared" si="39"/>
        <v>0</v>
      </c>
    </row>
    <row r="237" spans="1:34" ht="15.5" x14ac:dyDescent="0.35">
      <c r="A237" s="45" t="s">
        <v>23</v>
      </c>
      <c r="B237" s="45">
        <v>2022</v>
      </c>
      <c r="C237" s="45" t="s">
        <v>43</v>
      </c>
      <c r="D237" s="45" t="s">
        <v>139</v>
      </c>
      <c r="E237" s="55"/>
      <c r="F237" s="55">
        <v>500</v>
      </c>
      <c r="G237" s="55"/>
      <c r="H237" s="55"/>
      <c r="I237" s="55"/>
      <c r="J237" s="55"/>
      <c r="K237" s="55"/>
      <c r="L237" s="55"/>
      <c r="M237" s="55"/>
      <c r="N237" s="55"/>
      <c r="O237" s="55">
        <v>300</v>
      </c>
      <c r="P237" s="55"/>
      <c r="Q237" s="55"/>
      <c r="R237" s="56"/>
      <c r="S237" s="55"/>
      <c r="T237" s="55"/>
      <c r="U237" s="55"/>
      <c r="V237" s="55"/>
      <c r="W237" s="55"/>
      <c r="X237" s="55"/>
      <c r="Y237" s="55">
        <f t="shared" si="30"/>
        <v>500</v>
      </c>
      <c r="Z237">
        <f t="shared" si="31"/>
        <v>0</v>
      </c>
      <c r="AA237">
        <f t="shared" si="32"/>
        <v>0</v>
      </c>
      <c r="AB237">
        <f t="shared" si="33"/>
        <v>0</v>
      </c>
      <c r="AC237">
        <f t="shared" si="34"/>
        <v>0</v>
      </c>
      <c r="AD237">
        <f t="shared" si="35"/>
        <v>300</v>
      </c>
      <c r="AE237">
        <f t="shared" si="36"/>
        <v>0</v>
      </c>
      <c r="AF237">
        <f t="shared" si="37"/>
        <v>0</v>
      </c>
      <c r="AG237">
        <f t="shared" si="38"/>
        <v>0</v>
      </c>
      <c r="AH237">
        <f t="shared" si="39"/>
        <v>0</v>
      </c>
    </row>
    <row r="238" spans="1:34" ht="15.5" x14ac:dyDescent="0.35">
      <c r="A238" s="45" t="s">
        <v>25</v>
      </c>
      <c r="B238" s="45">
        <v>2016</v>
      </c>
      <c r="C238" s="45" t="s">
        <v>65</v>
      </c>
      <c r="D238" s="45" t="s">
        <v>139</v>
      </c>
      <c r="E238" s="55"/>
      <c r="F238" s="55"/>
      <c r="G238" s="55"/>
      <c r="H238" s="55"/>
      <c r="I238" s="55"/>
      <c r="J238" s="59"/>
      <c r="K238" s="55"/>
      <c r="L238" s="55">
        <v>300</v>
      </c>
      <c r="M238" s="55"/>
      <c r="N238" s="55">
        <v>2000</v>
      </c>
      <c r="O238" s="55"/>
      <c r="P238" s="55"/>
      <c r="Q238" s="55"/>
      <c r="R238" s="55"/>
      <c r="S238" s="55"/>
      <c r="T238" s="55"/>
      <c r="U238" s="55"/>
      <c r="V238" s="55">
        <v>300</v>
      </c>
      <c r="W238" s="55"/>
      <c r="X238" s="55"/>
      <c r="Y238" s="55">
        <f t="shared" si="30"/>
        <v>0</v>
      </c>
      <c r="Z238">
        <f t="shared" si="31"/>
        <v>0</v>
      </c>
      <c r="AA238">
        <f t="shared" si="32"/>
        <v>0</v>
      </c>
      <c r="AB238">
        <f t="shared" si="33"/>
        <v>300</v>
      </c>
      <c r="AC238">
        <f t="shared" si="34"/>
        <v>2000</v>
      </c>
      <c r="AD238">
        <f t="shared" si="35"/>
        <v>0</v>
      </c>
      <c r="AE238">
        <f t="shared" si="36"/>
        <v>0</v>
      </c>
      <c r="AF238">
        <f t="shared" si="37"/>
        <v>0</v>
      </c>
      <c r="AG238">
        <f t="shared" si="38"/>
        <v>300</v>
      </c>
      <c r="AH238">
        <f t="shared" si="39"/>
        <v>0</v>
      </c>
    </row>
    <row r="239" spans="1:34" ht="15.5" x14ac:dyDescent="0.35">
      <c r="A239" s="45" t="s">
        <v>25</v>
      </c>
      <c r="B239" s="45">
        <v>2016</v>
      </c>
      <c r="C239" s="45" t="s">
        <v>65</v>
      </c>
      <c r="D239" s="45" t="s">
        <v>69</v>
      </c>
      <c r="E239" s="55">
        <v>500</v>
      </c>
      <c r="F239" s="55"/>
      <c r="G239" s="55"/>
      <c r="H239" s="55"/>
      <c r="I239" s="55"/>
      <c r="J239" s="55"/>
      <c r="K239" s="55">
        <v>2500</v>
      </c>
      <c r="L239" s="55"/>
      <c r="M239" s="55"/>
      <c r="N239" s="55"/>
      <c r="O239" s="55"/>
      <c r="P239" s="55"/>
      <c r="Q239" s="55"/>
      <c r="R239" s="57"/>
      <c r="S239" s="55"/>
      <c r="T239" s="55"/>
      <c r="U239" s="55">
        <v>2500</v>
      </c>
      <c r="V239" s="55"/>
      <c r="W239" s="55"/>
      <c r="X239" s="55"/>
      <c r="Y239" s="55">
        <f t="shared" si="30"/>
        <v>500</v>
      </c>
      <c r="Z239">
        <f t="shared" si="31"/>
        <v>0</v>
      </c>
      <c r="AA239">
        <f t="shared" si="32"/>
        <v>0</v>
      </c>
      <c r="AB239">
        <f t="shared" si="33"/>
        <v>2500</v>
      </c>
      <c r="AC239">
        <f t="shared" si="34"/>
        <v>0</v>
      </c>
      <c r="AD239">
        <f t="shared" si="35"/>
        <v>0</v>
      </c>
      <c r="AE239">
        <f t="shared" si="36"/>
        <v>0</v>
      </c>
      <c r="AF239">
        <f t="shared" si="37"/>
        <v>0</v>
      </c>
      <c r="AG239">
        <f t="shared" si="38"/>
        <v>2500</v>
      </c>
      <c r="AH239">
        <f t="shared" si="39"/>
        <v>0</v>
      </c>
    </row>
    <row r="240" spans="1:34" x14ac:dyDescent="0.35">
      <c r="A240" s="45" t="s">
        <v>25</v>
      </c>
      <c r="B240" s="45">
        <v>2916</v>
      </c>
      <c r="C240" s="45" t="s">
        <v>43</v>
      </c>
      <c r="D240" s="45" t="s">
        <v>140</v>
      </c>
      <c r="E240" s="55">
        <v>300</v>
      </c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>
        <v>1000</v>
      </c>
      <c r="Q240" s="55">
        <v>10000</v>
      </c>
      <c r="R240" s="55"/>
      <c r="S240" s="55"/>
      <c r="T240" s="55">
        <v>500</v>
      </c>
      <c r="U240" s="55"/>
      <c r="V240" s="55"/>
      <c r="W240" s="55"/>
      <c r="X240" s="55">
        <v>12000</v>
      </c>
      <c r="Y240" s="55">
        <f t="shared" si="30"/>
        <v>300</v>
      </c>
      <c r="Z240">
        <f t="shared" si="31"/>
        <v>0</v>
      </c>
      <c r="AA240">
        <f t="shared" si="32"/>
        <v>0</v>
      </c>
      <c r="AB240">
        <f t="shared" si="33"/>
        <v>0</v>
      </c>
      <c r="AC240">
        <f t="shared" si="34"/>
        <v>0</v>
      </c>
      <c r="AD240">
        <f t="shared" si="35"/>
        <v>1000</v>
      </c>
      <c r="AE240">
        <f t="shared" si="36"/>
        <v>10000</v>
      </c>
      <c r="AF240">
        <f t="shared" si="37"/>
        <v>500</v>
      </c>
      <c r="AG240">
        <f t="shared" si="38"/>
        <v>0</v>
      </c>
      <c r="AH240">
        <f t="shared" si="39"/>
        <v>12000</v>
      </c>
    </row>
    <row r="241" spans="1:34" ht="15.5" x14ac:dyDescent="0.35">
      <c r="A241" s="45" t="s">
        <v>25</v>
      </c>
      <c r="B241" s="45">
        <v>2016</v>
      </c>
      <c r="C241" s="45" t="s">
        <v>43</v>
      </c>
      <c r="D241" s="45" t="s">
        <v>141</v>
      </c>
      <c r="E241" s="55"/>
      <c r="F241" s="55"/>
      <c r="G241" s="55">
        <v>2000</v>
      </c>
      <c r="H241" s="55">
        <v>1500</v>
      </c>
      <c r="I241" s="55"/>
      <c r="J241" s="55">
        <v>300</v>
      </c>
      <c r="K241" s="55"/>
      <c r="L241" s="55"/>
      <c r="M241" s="55"/>
      <c r="N241" s="55"/>
      <c r="O241" s="55">
        <v>700</v>
      </c>
      <c r="P241" s="55"/>
      <c r="Q241" s="55"/>
      <c r="R241" s="59"/>
      <c r="S241" s="55">
        <v>1000</v>
      </c>
      <c r="T241" s="55"/>
      <c r="U241" s="55"/>
      <c r="V241" s="55"/>
      <c r="W241" s="55"/>
      <c r="X241" s="55"/>
      <c r="Y241" s="55">
        <f t="shared" si="30"/>
        <v>0</v>
      </c>
      <c r="Z241">
        <f t="shared" si="31"/>
        <v>3500</v>
      </c>
      <c r="AA241">
        <f t="shared" si="32"/>
        <v>300</v>
      </c>
      <c r="AB241">
        <f t="shared" si="33"/>
        <v>0</v>
      </c>
      <c r="AC241">
        <f t="shared" si="34"/>
        <v>0</v>
      </c>
      <c r="AD241">
        <f t="shared" si="35"/>
        <v>700</v>
      </c>
      <c r="AE241">
        <f t="shared" si="36"/>
        <v>0</v>
      </c>
      <c r="AF241">
        <f t="shared" si="37"/>
        <v>1000</v>
      </c>
      <c r="AG241">
        <f t="shared" si="38"/>
        <v>0</v>
      </c>
      <c r="AH241">
        <f t="shared" si="39"/>
        <v>0</v>
      </c>
    </row>
    <row r="242" spans="1:34" ht="15.5" x14ac:dyDescent="0.35">
      <c r="A242" s="45" t="s">
        <v>25</v>
      </c>
      <c r="B242" s="45">
        <v>2017</v>
      </c>
      <c r="C242" s="45" t="s">
        <v>65</v>
      </c>
      <c r="D242" s="45" t="s">
        <v>69</v>
      </c>
      <c r="E242" s="55"/>
      <c r="F242" s="55"/>
      <c r="G242" s="55"/>
      <c r="H242" s="55"/>
      <c r="I242" s="55"/>
      <c r="J242" s="56">
        <v>3000</v>
      </c>
      <c r="K242" s="55"/>
      <c r="L242" s="55"/>
      <c r="M242" s="55">
        <v>1000</v>
      </c>
      <c r="N242" s="55"/>
      <c r="O242" s="55"/>
      <c r="P242" s="55"/>
      <c r="Q242" s="55"/>
      <c r="R242" s="55">
        <v>50</v>
      </c>
      <c r="S242" s="55"/>
      <c r="T242" s="55"/>
      <c r="U242" s="55"/>
      <c r="V242" s="55"/>
      <c r="W242" s="55"/>
      <c r="X242" s="55"/>
      <c r="Y242" s="55">
        <f t="shared" si="30"/>
        <v>0</v>
      </c>
      <c r="Z242">
        <f t="shared" si="31"/>
        <v>0</v>
      </c>
      <c r="AA242">
        <f t="shared" si="32"/>
        <v>3000</v>
      </c>
      <c r="AB242">
        <f t="shared" si="33"/>
        <v>0</v>
      </c>
      <c r="AC242">
        <f t="shared" si="34"/>
        <v>1000</v>
      </c>
      <c r="AD242">
        <f t="shared" si="35"/>
        <v>0</v>
      </c>
      <c r="AE242">
        <f t="shared" si="36"/>
        <v>50</v>
      </c>
      <c r="AF242">
        <f t="shared" si="37"/>
        <v>0</v>
      </c>
      <c r="AG242">
        <f t="shared" si="38"/>
        <v>0</v>
      </c>
      <c r="AH242">
        <f t="shared" si="39"/>
        <v>0</v>
      </c>
    </row>
    <row r="243" spans="1:34" ht="15.5" x14ac:dyDescent="0.35">
      <c r="A243" s="45" t="s">
        <v>25</v>
      </c>
      <c r="B243" s="45">
        <v>2017</v>
      </c>
      <c r="C243" s="45" t="s">
        <v>65</v>
      </c>
      <c r="D243" s="45" t="s">
        <v>142</v>
      </c>
      <c r="E243" s="55"/>
      <c r="F243" s="55"/>
      <c r="G243" s="55"/>
      <c r="H243" s="55"/>
      <c r="I243" s="55"/>
      <c r="J243" s="55">
        <v>2000</v>
      </c>
      <c r="K243" s="55"/>
      <c r="L243" s="55"/>
      <c r="M243" s="55"/>
      <c r="N243" s="55"/>
      <c r="O243" s="55"/>
      <c r="P243" s="55"/>
      <c r="Q243" s="55"/>
      <c r="R243" s="55"/>
      <c r="S243" s="56"/>
      <c r="T243" s="55"/>
      <c r="U243" s="55"/>
      <c r="V243" s="55"/>
      <c r="W243" s="55"/>
      <c r="X243" s="55"/>
      <c r="Y243" s="55">
        <f t="shared" si="30"/>
        <v>0</v>
      </c>
      <c r="Z243">
        <f t="shared" si="31"/>
        <v>0</v>
      </c>
      <c r="AA243">
        <f t="shared" si="32"/>
        <v>2000</v>
      </c>
      <c r="AB243">
        <f t="shared" si="33"/>
        <v>0</v>
      </c>
      <c r="AC243">
        <f t="shared" si="34"/>
        <v>0</v>
      </c>
      <c r="AD243">
        <f t="shared" si="35"/>
        <v>0</v>
      </c>
      <c r="AE243">
        <f t="shared" si="36"/>
        <v>0</v>
      </c>
      <c r="AF243">
        <f t="shared" si="37"/>
        <v>0</v>
      </c>
      <c r="AG243">
        <f t="shared" si="38"/>
        <v>0</v>
      </c>
      <c r="AH243">
        <f t="shared" si="39"/>
        <v>0</v>
      </c>
    </row>
    <row r="244" spans="1:34" ht="15.5" x14ac:dyDescent="0.35">
      <c r="A244" s="45" t="s">
        <v>25</v>
      </c>
      <c r="B244" s="45">
        <v>2017</v>
      </c>
      <c r="C244" s="45" t="s">
        <v>43</v>
      </c>
      <c r="D244" s="45" t="s">
        <v>44</v>
      </c>
      <c r="E244" s="55"/>
      <c r="F244" s="55"/>
      <c r="G244" s="55"/>
      <c r="H244" s="55"/>
      <c r="I244" s="55">
        <v>1500</v>
      </c>
      <c r="J244" s="55"/>
      <c r="K244" s="55"/>
      <c r="L244" s="55"/>
      <c r="M244" s="55"/>
      <c r="N244" s="55"/>
      <c r="O244" s="55"/>
      <c r="P244" s="60"/>
      <c r="Q244" s="55"/>
      <c r="R244" s="55"/>
      <c r="S244" s="55"/>
      <c r="T244" s="55"/>
      <c r="U244" s="55"/>
      <c r="V244" s="55"/>
      <c r="W244" s="55">
        <v>300</v>
      </c>
      <c r="X244" s="55"/>
      <c r="Y244" s="55">
        <f t="shared" si="30"/>
        <v>0</v>
      </c>
      <c r="Z244">
        <f t="shared" si="31"/>
        <v>0</v>
      </c>
      <c r="AA244">
        <f t="shared" si="32"/>
        <v>1500</v>
      </c>
      <c r="AB244">
        <f t="shared" si="33"/>
        <v>0</v>
      </c>
      <c r="AC244">
        <f t="shared" si="34"/>
        <v>0</v>
      </c>
      <c r="AD244">
        <f t="shared" si="35"/>
        <v>0</v>
      </c>
      <c r="AE244">
        <f t="shared" si="36"/>
        <v>0</v>
      </c>
      <c r="AF244">
        <f t="shared" si="37"/>
        <v>0</v>
      </c>
      <c r="AG244">
        <f t="shared" si="38"/>
        <v>0</v>
      </c>
      <c r="AH244">
        <f t="shared" si="39"/>
        <v>300</v>
      </c>
    </row>
    <row r="245" spans="1:34" ht="15.5" x14ac:dyDescent="0.35">
      <c r="A245" s="45" t="s">
        <v>25</v>
      </c>
      <c r="B245" s="45">
        <v>2018</v>
      </c>
      <c r="C245" s="45" t="s">
        <v>43</v>
      </c>
      <c r="D245" s="45" t="s">
        <v>45</v>
      </c>
      <c r="E245" s="55"/>
      <c r="F245" s="55"/>
      <c r="G245" s="55"/>
      <c r="H245" s="55">
        <v>300</v>
      </c>
      <c r="I245" s="55"/>
      <c r="J245" s="55"/>
      <c r="K245" s="55"/>
      <c r="L245" s="55">
        <v>2500</v>
      </c>
      <c r="M245" s="55"/>
      <c r="N245" s="55"/>
      <c r="O245" s="55"/>
      <c r="P245" s="55"/>
      <c r="Q245" s="55"/>
      <c r="R245" s="55"/>
      <c r="S245" s="57"/>
      <c r="T245" s="55"/>
      <c r="U245" s="55"/>
      <c r="V245" s="55">
        <v>2500</v>
      </c>
      <c r="W245" s="55"/>
      <c r="X245" s="55"/>
      <c r="Y245" s="55">
        <f t="shared" si="30"/>
        <v>0</v>
      </c>
      <c r="Z245">
        <f t="shared" si="31"/>
        <v>300</v>
      </c>
      <c r="AA245">
        <f t="shared" si="32"/>
        <v>0</v>
      </c>
      <c r="AB245">
        <f t="shared" si="33"/>
        <v>2500</v>
      </c>
      <c r="AC245">
        <f t="shared" si="34"/>
        <v>0</v>
      </c>
      <c r="AD245">
        <f t="shared" si="35"/>
        <v>0</v>
      </c>
      <c r="AE245">
        <f t="shared" si="36"/>
        <v>0</v>
      </c>
      <c r="AF245">
        <f t="shared" si="37"/>
        <v>0</v>
      </c>
      <c r="AG245">
        <f t="shared" si="38"/>
        <v>2500</v>
      </c>
      <c r="AH245">
        <f t="shared" si="39"/>
        <v>0</v>
      </c>
    </row>
    <row r="246" spans="1:34" x14ac:dyDescent="0.35">
      <c r="A246" s="45" t="s">
        <v>25</v>
      </c>
      <c r="B246" s="45">
        <v>2018</v>
      </c>
      <c r="C246" s="45" t="s">
        <v>65</v>
      </c>
      <c r="D246" s="45" t="s">
        <v>44</v>
      </c>
      <c r="E246" s="55"/>
      <c r="F246" s="55"/>
      <c r="G246" s="55">
        <v>2500</v>
      </c>
      <c r="H246" s="55"/>
      <c r="I246" s="55"/>
      <c r="J246" s="55"/>
      <c r="K246" s="55">
        <v>500</v>
      </c>
      <c r="L246" s="55"/>
      <c r="M246" s="55"/>
      <c r="N246" s="55"/>
      <c r="O246" s="55"/>
      <c r="P246" s="55"/>
      <c r="Q246" s="55"/>
      <c r="R246" s="55">
        <v>10000</v>
      </c>
      <c r="S246" s="55"/>
      <c r="T246" s="55"/>
      <c r="U246" s="55">
        <v>500</v>
      </c>
      <c r="V246" s="55"/>
      <c r="W246" s="55"/>
      <c r="X246" s="55"/>
      <c r="Y246" s="55">
        <f t="shared" si="30"/>
        <v>0</v>
      </c>
      <c r="Z246">
        <f t="shared" si="31"/>
        <v>2500</v>
      </c>
      <c r="AA246">
        <f t="shared" si="32"/>
        <v>0</v>
      </c>
      <c r="AB246">
        <f t="shared" si="33"/>
        <v>500</v>
      </c>
      <c r="AC246">
        <f t="shared" si="34"/>
        <v>0</v>
      </c>
      <c r="AD246">
        <f t="shared" si="35"/>
        <v>0</v>
      </c>
      <c r="AE246">
        <f t="shared" si="36"/>
        <v>10000</v>
      </c>
      <c r="AF246">
        <f t="shared" si="37"/>
        <v>0</v>
      </c>
      <c r="AG246">
        <f t="shared" si="38"/>
        <v>500</v>
      </c>
      <c r="AH246">
        <f t="shared" si="39"/>
        <v>0</v>
      </c>
    </row>
    <row r="247" spans="1:34" ht="15.5" x14ac:dyDescent="0.35">
      <c r="A247" s="45" t="s">
        <v>25</v>
      </c>
      <c r="B247" s="45">
        <v>2018</v>
      </c>
      <c r="C247" s="45" t="s">
        <v>65</v>
      </c>
      <c r="D247" s="45" t="s">
        <v>45</v>
      </c>
      <c r="E247" s="55"/>
      <c r="F247" s="55">
        <v>500</v>
      </c>
      <c r="G247" s="55"/>
      <c r="H247" s="55"/>
      <c r="I247" s="55"/>
      <c r="J247" s="55"/>
      <c r="K247" s="55"/>
      <c r="L247" s="55"/>
      <c r="M247" s="55"/>
      <c r="N247" s="55"/>
      <c r="O247" s="55">
        <v>2500</v>
      </c>
      <c r="P247" s="55"/>
      <c r="Q247" s="55"/>
      <c r="R247" s="55"/>
      <c r="S247" s="59"/>
      <c r="T247" s="55">
        <v>1000</v>
      </c>
      <c r="U247" s="55"/>
      <c r="V247" s="55"/>
      <c r="W247" s="55"/>
      <c r="X247" s="55"/>
      <c r="Y247" s="55">
        <f t="shared" si="30"/>
        <v>500</v>
      </c>
      <c r="Z247">
        <f t="shared" si="31"/>
        <v>0</v>
      </c>
      <c r="AA247">
        <f t="shared" si="32"/>
        <v>0</v>
      </c>
      <c r="AB247">
        <f t="shared" si="33"/>
        <v>0</v>
      </c>
      <c r="AC247">
        <f t="shared" si="34"/>
        <v>0</v>
      </c>
      <c r="AD247">
        <f t="shared" si="35"/>
        <v>2500</v>
      </c>
      <c r="AE247">
        <f t="shared" si="36"/>
        <v>0</v>
      </c>
      <c r="AF247">
        <f t="shared" si="37"/>
        <v>1000</v>
      </c>
      <c r="AG247">
        <f t="shared" si="38"/>
        <v>0</v>
      </c>
      <c r="AH247">
        <f t="shared" si="39"/>
        <v>0</v>
      </c>
    </row>
    <row r="248" spans="1:34" x14ac:dyDescent="0.35">
      <c r="A248" s="45" t="s">
        <v>25</v>
      </c>
      <c r="B248" s="45">
        <v>2018</v>
      </c>
      <c r="C248" s="45" t="s">
        <v>43</v>
      </c>
      <c r="D248" s="45" t="s">
        <v>44</v>
      </c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>
        <v>150</v>
      </c>
      <c r="Y248" s="55">
        <f t="shared" si="30"/>
        <v>0</v>
      </c>
      <c r="Z248">
        <f t="shared" si="31"/>
        <v>0</v>
      </c>
      <c r="AA248">
        <f t="shared" si="32"/>
        <v>0</v>
      </c>
      <c r="AB248">
        <f t="shared" si="33"/>
        <v>0</v>
      </c>
      <c r="AC248">
        <f t="shared" si="34"/>
        <v>0</v>
      </c>
      <c r="AD248">
        <f t="shared" si="35"/>
        <v>0</v>
      </c>
      <c r="AE248">
        <f t="shared" si="36"/>
        <v>0</v>
      </c>
      <c r="AF248">
        <f t="shared" si="37"/>
        <v>0</v>
      </c>
      <c r="AG248">
        <f t="shared" si="38"/>
        <v>0</v>
      </c>
      <c r="AH248">
        <f t="shared" si="39"/>
        <v>150</v>
      </c>
    </row>
    <row r="249" spans="1:34" ht="15.5" x14ac:dyDescent="0.35">
      <c r="A249" s="45" t="s">
        <v>25</v>
      </c>
      <c r="B249" s="45">
        <v>2018</v>
      </c>
      <c r="C249" s="45" t="s">
        <v>43</v>
      </c>
      <c r="D249" s="45" t="s">
        <v>45</v>
      </c>
      <c r="E249" s="55"/>
      <c r="F249" s="55"/>
      <c r="G249" s="55">
        <v>2500</v>
      </c>
      <c r="H249" s="55"/>
      <c r="I249" s="55"/>
      <c r="J249" s="55"/>
      <c r="K249" s="55"/>
      <c r="L249" s="55"/>
      <c r="M249" s="55"/>
      <c r="N249" s="55"/>
      <c r="O249" s="59"/>
      <c r="P249" s="55"/>
      <c r="Q249" s="55"/>
      <c r="R249" s="55"/>
      <c r="S249" s="55"/>
      <c r="T249" s="55"/>
      <c r="U249" s="55"/>
      <c r="V249" s="55"/>
      <c r="W249" s="55"/>
      <c r="X249" s="55"/>
      <c r="Y249" s="55">
        <f t="shared" si="30"/>
        <v>0</v>
      </c>
      <c r="Z249">
        <f t="shared" si="31"/>
        <v>2500</v>
      </c>
      <c r="AA249">
        <f t="shared" si="32"/>
        <v>0</v>
      </c>
      <c r="AB249">
        <f t="shared" si="33"/>
        <v>0</v>
      </c>
      <c r="AC249">
        <f t="shared" si="34"/>
        <v>0</v>
      </c>
      <c r="AD249">
        <f t="shared" si="35"/>
        <v>0</v>
      </c>
      <c r="AE249">
        <f t="shared" si="36"/>
        <v>0</v>
      </c>
      <c r="AF249">
        <f t="shared" si="37"/>
        <v>0</v>
      </c>
      <c r="AG249">
        <f t="shared" si="38"/>
        <v>0</v>
      </c>
      <c r="AH249">
        <f t="shared" si="39"/>
        <v>0</v>
      </c>
    </row>
    <row r="250" spans="1:34" ht="15.5" x14ac:dyDescent="0.35">
      <c r="A250" s="45" t="s">
        <v>25</v>
      </c>
      <c r="B250" s="45">
        <v>2019</v>
      </c>
      <c r="C250" s="45" t="s">
        <v>65</v>
      </c>
      <c r="D250" s="45" t="s">
        <v>46</v>
      </c>
      <c r="E250" s="55">
        <v>700</v>
      </c>
      <c r="F250" s="55"/>
      <c r="G250" s="55"/>
      <c r="H250" s="55"/>
      <c r="I250" s="55"/>
      <c r="J250" s="55">
        <v>500</v>
      </c>
      <c r="K250" s="55"/>
      <c r="L250" s="55"/>
      <c r="M250" s="55"/>
      <c r="N250" s="55"/>
      <c r="O250" s="55"/>
      <c r="P250" s="55"/>
      <c r="Q250" s="55"/>
      <c r="R250" s="55"/>
      <c r="S250" s="55">
        <v>300</v>
      </c>
      <c r="T250" s="55"/>
      <c r="U250" s="55"/>
      <c r="V250" s="56"/>
      <c r="W250" s="55"/>
      <c r="X250" s="55"/>
      <c r="Y250" s="55">
        <f t="shared" si="30"/>
        <v>700</v>
      </c>
      <c r="Z250">
        <f t="shared" si="31"/>
        <v>0</v>
      </c>
      <c r="AA250">
        <f t="shared" si="32"/>
        <v>500</v>
      </c>
      <c r="AB250">
        <f t="shared" si="33"/>
        <v>0</v>
      </c>
      <c r="AC250">
        <f t="shared" si="34"/>
        <v>0</v>
      </c>
      <c r="AD250">
        <f t="shared" si="35"/>
        <v>0</v>
      </c>
      <c r="AE250">
        <f t="shared" si="36"/>
        <v>0</v>
      </c>
      <c r="AF250">
        <f t="shared" si="37"/>
        <v>300</v>
      </c>
      <c r="AG250">
        <f t="shared" si="38"/>
        <v>0</v>
      </c>
      <c r="AH250">
        <f t="shared" si="39"/>
        <v>0</v>
      </c>
    </row>
    <row r="251" spans="1:34" ht="15.5" x14ac:dyDescent="0.35">
      <c r="A251" s="45" t="s">
        <v>25</v>
      </c>
      <c r="B251" s="45">
        <v>2019</v>
      </c>
      <c r="C251" s="45" t="s">
        <v>65</v>
      </c>
      <c r="D251" s="45" t="s">
        <v>46</v>
      </c>
      <c r="E251" s="55"/>
      <c r="F251" s="55"/>
      <c r="G251" s="55">
        <v>88</v>
      </c>
      <c r="H251" s="55"/>
      <c r="I251" s="55"/>
      <c r="J251" s="55"/>
      <c r="K251" s="55"/>
      <c r="L251" s="55"/>
      <c r="M251" s="55"/>
      <c r="N251" s="59"/>
      <c r="O251" s="55"/>
      <c r="P251" s="55">
        <v>300</v>
      </c>
      <c r="Q251" s="55"/>
      <c r="R251" s="55">
        <v>2000</v>
      </c>
      <c r="S251" s="55"/>
      <c r="T251" s="55"/>
      <c r="U251" s="55"/>
      <c r="V251" s="55"/>
      <c r="W251" s="55"/>
      <c r="X251" s="55"/>
      <c r="Y251" s="55">
        <f t="shared" si="30"/>
        <v>0</v>
      </c>
      <c r="Z251">
        <f t="shared" si="31"/>
        <v>88</v>
      </c>
      <c r="AA251">
        <f t="shared" si="32"/>
        <v>0</v>
      </c>
      <c r="AB251">
        <f t="shared" si="33"/>
        <v>0</v>
      </c>
      <c r="AC251">
        <f t="shared" si="34"/>
        <v>0</v>
      </c>
      <c r="AD251">
        <f t="shared" si="35"/>
        <v>300</v>
      </c>
      <c r="AE251">
        <f t="shared" si="36"/>
        <v>2000</v>
      </c>
      <c r="AF251">
        <f t="shared" si="37"/>
        <v>0</v>
      </c>
      <c r="AG251">
        <f t="shared" si="38"/>
        <v>0</v>
      </c>
      <c r="AH251">
        <f t="shared" si="39"/>
        <v>0</v>
      </c>
    </row>
    <row r="252" spans="1:34" ht="15.5" x14ac:dyDescent="0.35">
      <c r="A252" s="45" t="s">
        <v>25</v>
      </c>
      <c r="B252" s="45">
        <v>2019</v>
      </c>
      <c r="C252" s="45" t="s">
        <v>43</v>
      </c>
      <c r="D252" s="45" t="s">
        <v>139</v>
      </c>
      <c r="E252" s="55"/>
      <c r="F252" s="55">
        <v>2500</v>
      </c>
      <c r="G252" s="55"/>
      <c r="H252" s="55"/>
      <c r="I252" s="55"/>
      <c r="J252" s="55"/>
      <c r="K252" s="55"/>
      <c r="L252" s="55"/>
      <c r="M252" s="55"/>
      <c r="N252" s="55"/>
      <c r="O252" s="55">
        <v>2500</v>
      </c>
      <c r="P252" s="55"/>
      <c r="Q252" s="55"/>
      <c r="R252" s="55"/>
      <c r="S252" s="55"/>
      <c r="T252" s="55"/>
      <c r="U252" s="55"/>
      <c r="V252" s="57"/>
      <c r="W252" s="55"/>
      <c r="X252" s="55"/>
      <c r="Y252" s="55">
        <f t="shared" si="30"/>
        <v>2500</v>
      </c>
      <c r="Z252">
        <f t="shared" si="31"/>
        <v>0</v>
      </c>
      <c r="AA252">
        <f t="shared" si="32"/>
        <v>0</v>
      </c>
      <c r="AB252">
        <f t="shared" si="33"/>
        <v>0</v>
      </c>
      <c r="AC252">
        <f t="shared" si="34"/>
        <v>0</v>
      </c>
      <c r="AD252">
        <f t="shared" si="35"/>
        <v>2500</v>
      </c>
      <c r="AE252">
        <f t="shared" si="36"/>
        <v>0</v>
      </c>
      <c r="AF252">
        <f t="shared" si="37"/>
        <v>0</v>
      </c>
      <c r="AG252">
        <f t="shared" si="38"/>
        <v>0</v>
      </c>
      <c r="AH252">
        <f t="shared" si="39"/>
        <v>0</v>
      </c>
    </row>
    <row r="253" spans="1:34" x14ac:dyDescent="0.35">
      <c r="A253" s="45" t="s">
        <v>25</v>
      </c>
      <c r="B253" s="45">
        <v>2019</v>
      </c>
      <c r="C253" s="45" t="s">
        <v>43</v>
      </c>
      <c r="D253" s="45" t="s">
        <v>139</v>
      </c>
      <c r="E253" s="55">
        <v>300</v>
      </c>
      <c r="F253" s="55"/>
      <c r="G253" s="55"/>
      <c r="H253" s="55"/>
      <c r="I253" s="55"/>
      <c r="J253" s="55"/>
      <c r="K253" s="55"/>
      <c r="L253" s="55"/>
      <c r="M253" s="55"/>
      <c r="N253" s="55"/>
      <c r="O253" s="55"/>
      <c r="P253" s="55"/>
      <c r="Q253" s="55"/>
      <c r="R253" s="55"/>
      <c r="S253" s="55"/>
      <c r="T253" s="55">
        <v>1000</v>
      </c>
      <c r="U253" s="55">
        <v>10000</v>
      </c>
      <c r="V253" s="55"/>
      <c r="W253" s="55"/>
      <c r="X253" s="55">
        <v>500</v>
      </c>
      <c r="Y253" s="55">
        <f t="shared" si="30"/>
        <v>300</v>
      </c>
      <c r="Z253">
        <f t="shared" si="31"/>
        <v>0</v>
      </c>
      <c r="AA253">
        <f t="shared" si="32"/>
        <v>0</v>
      </c>
      <c r="AB253">
        <f t="shared" si="33"/>
        <v>0</v>
      </c>
      <c r="AC253">
        <f t="shared" si="34"/>
        <v>0</v>
      </c>
      <c r="AD253">
        <f t="shared" si="35"/>
        <v>0</v>
      </c>
      <c r="AE253">
        <f t="shared" si="36"/>
        <v>0</v>
      </c>
      <c r="AF253">
        <f t="shared" si="37"/>
        <v>1000</v>
      </c>
      <c r="AG253">
        <f t="shared" si="38"/>
        <v>10000</v>
      </c>
      <c r="AH253">
        <f t="shared" si="39"/>
        <v>500</v>
      </c>
    </row>
    <row r="254" spans="1:34" ht="15.5" x14ac:dyDescent="0.35">
      <c r="A254" s="45" t="s">
        <v>25</v>
      </c>
      <c r="B254" s="45">
        <v>2019</v>
      </c>
      <c r="C254" s="45" t="s">
        <v>65</v>
      </c>
      <c r="D254" s="45" t="s">
        <v>69</v>
      </c>
      <c r="E254" s="55"/>
      <c r="F254" s="55"/>
      <c r="G254" s="55"/>
      <c r="H254" s="55"/>
      <c r="I254" s="55"/>
      <c r="J254" s="55"/>
      <c r="K254" s="55">
        <v>2000</v>
      </c>
      <c r="L254" s="55">
        <v>1500</v>
      </c>
      <c r="M254" s="55"/>
      <c r="N254" s="55">
        <v>300</v>
      </c>
      <c r="O254" s="55"/>
      <c r="P254" s="55"/>
      <c r="Q254" s="55"/>
      <c r="R254" s="55"/>
      <c r="S254" s="55">
        <v>700</v>
      </c>
      <c r="T254" s="55"/>
      <c r="U254" s="55"/>
      <c r="V254" s="59"/>
      <c r="W254" s="55">
        <v>1000</v>
      </c>
      <c r="X254" s="55"/>
      <c r="Y254" s="55">
        <f t="shared" si="30"/>
        <v>0</v>
      </c>
      <c r="Z254">
        <f t="shared" si="31"/>
        <v>0</v>
      </c>
      <c r="AA254">
        <f t="shared" si="32"/>
        <v>0</v>
      </c>
      <c r="AB254">
        <f t="shared" si="33"/>
        <v>3500</v>
      </c>
      <c r="AC254">
        <f t="shared" si="34"/>
        <v>300</v>
      </c>
      <c r="AD254">
        <f t="shared" si="35"/>
        <v>0</v>
      </c>
      <c r="AE254">
        <f t="shared" si="36"/>
        <v>0</v>
      </c>
      <c r="AF254">
        <f t="shared" si="37"/>
        <v>700</v>
      </c>
      <c r="AG254">
        <f t="shared" si="38"/>
        <v>0</v>
      </c>
      <c r="AH254">
        <f t="shared" si="39"/>
        <v>1000</v>
      </c>
    </row>
    <row r="255" spans="1:34" ht="15.5" x14ac:dyDescent="0.35">
      <c r="A255" s="45" t="s">
        <v>25</v>
      </c>
      <c r="B255" s="45">
        <v>2019</v>
      </c>
      <c r="C255" s="45" t="s">
        <v>65</v>
      </c>
      <c r="D255" s="45" t="s">
        <v>140</v>
      </c>
      <c r="E255" s="55"/>
      <c r="F255" s="55"/>
      <c r="G255" s="61"/>
      <c r="H255" s="55"/>
      <c r="I255" s="55"/>
      <c r="J255" s="55"/>
      <c r="K255" s="55"/>
      <c r="L255" s="55"/>
      <c r="M255" s="55"/>
      <c r="N255" s="56">
        <v>3000</v>
      </c>
      <c r="O255" s="55"/>
      <c r="P255" s="55"/>
      <c r="Q255" s="55">
        <v>1000</v>
      </c>
      <c r="R255" s="55"/>
      <c r="S255" s="55"/>
      <c r="T255" s="55"/>
      <c r="U255" s="55"/>
      <c r="V255" s="55">
        <v>50</v>
      </c>
      <c r="W255" s="55"/>
      <c r="X255" s="55"/>
      <c r="Y255" s="55">
        <f t="shared" si="30"/>
        <v>0</v>
      </c>
      <c r="Z255">
        <f t="shared" si="31"/>
        <v>0</v>
      </c>
      <c r="AA255">
        <f t="shared" si="32"/>
        <v>0</v>
      </c>
      <c r="AB255">
        <f t="shared" si="33"/>
        <v>0</v>
      </c>
      <c r="AC255">
        <f t="shared" si="34"/>
        <v>3000</v>
      </c>
      <c r="AD255">
        <f t="shared" si="35"/>
        <v>0</v>
      </c>
      <c r="AE255">
        <f t="shared" si="36"/>
        <v>1000</v>
      </c>
      <c r="AF255">
        <f t="shared" si="37"/>
        <v>0</v>
      </c>
      <c r="AG255">
        <f t="shared" si="38"/>
        <v>50</v>
      </c>
      <c r="AH255">
        <f t="shared" si="39"/>
        <v>0</v>
      </c>
    </row>
    <row r="256" spans="1:34" ht="15.5" x14ac:dyDescent="0.35">
      <c r="A256" s="45" t="s">
        <v>25</v>
      </c>
      <c r="B256" s="45">
        <v>2019</v>
      </c>
      <c r="C256" s="45" t="s">
        <v>43</v>
      </c>
      <c r="D256" s="45" t="s">
        <v>141</v>
      </c>
      <c r="E256" s="55"/>
      <c r="F256" s="55"/>
      <c r="G256" s="55"/>
      <c r="H256" s="55"/>
      <c r="I256" s="55"/>
      <c r="J256" s="55"/>
      <c r="K256" s="55"/>
      <c r="L256" s="55"/>
      <c r="M256" s="55"/>
      <c r="N256" s="55">
        <v>2000</v>
      </c>
      <c r="O256" s="55"/>
      <c r="P256" s="55"/>
      <c r="Q256" s="55"/>
      <c r="R256" s="55"/>
      <c r="S256" s="55"/>
      <c r="T256" s="55"/>
      <c r="U256" s="55"/>
      <c r="V256" s="55"/>
      <c r="W256" s="56"/>
      <c r="X256" s="55"/>
      <c r="Y256" s="55">
        <f t="shared" si="30"/>
        <v>0</v>
      </c>
      <c r="Z256">
        <f t="shared" si="31"/>
        <v>0</v>
      </c>
      <c r="AA256">
        <f t="shared" si="32"/>
        <v>0</v>
      </c>
      <c r="AB256">
        <f t="shared" si="33"/>
        <v>0</v>
      </c>
      <c r="AC256">
        <f t="shared" si="34"/>
        <v>2000</v>
      </c>
      <c r="AD256">
        <f t="shared" si="35"/>
        <v>0</v>
      </c>
      <c r="AE256">
        <f t="shared" si="36"/>
        <v>0</v>
      </c>
      <c r="AF256">
        <f t="shared" si="37"/>
        <v>0</v>
      </c>
      <c r="AG256">
        <f t="shared" si="38"/>
        <v>0</v>
      </c>
      <c r="AH256">
        <f t="shared" si="39"/>
        <v>0</v>
      </c>
    </row>
    <row r="257" spans="1:34" ht="15.5" x14ac:dyDescent="0.35">
      <c r="A257" s="45" t="s">
        <v>25</v>
      </c>
      <c r="B257" s="45">
        <v>2019</v>
      </c>
      <c r="C257" s="45" t="s">
        <v>43</v>
      </c>
      <c r="D257" s="45" t="s">
        <v>69</v>
      </c>
      <c r="E257" s="55">
        <v>88</v>
      </c>
      <c r="F257" s="55"/>
      <c r="G257" s="55"/>
      <c r="H257" s="61"/>
      <c r="I257" s="55"/>
      <c r="J257" s="55"/>
      <c r="K257" s="55"/>
      <c r="L257" s="55"/>
      <c r="M257" s="55">
        <v>1500</v>
      </c>
      <c r="N257" s="55"/>
      <c r="O257" s="55"/>
      <c r="P257" s="55"/>
      <c r="Q257" s="55"/>
      <c r="R257" s="55"/>
      <c r="S257" s="55"/>
      <c r="T257" s="60"/>
      <c r="U257" s="55"/>
      <c r="V257" s="55"/>
      <c r="W257" s="55"/>
      <c r="X257" s="55"/>
      <c r="Y257" s="55">
        <f t="shared" si="30"/>
        <v>88</v>
      </c>
      <c r="Z257">
        <f t="shared" si="31"/>
        <v>0</v>
      </c>
      <c r="AA257">
        <f t="shared" si="32"/>
        <v>0</v>
      </c>
      <c r="AB257">
        <f t="shared" si="33"/>
        <v>0</v>
      </c>
      <c r="AC257">
        <f t="shared" si="34"/>
        <v>1500</v>
      </c>
      <c r="AD257">
        <f t="shared" si="35"/>
        <v>0</v>
      </c>
      <c r="AE257">
        <f t="shared" si="36"/>
        <v>0</v>
      </c>
      <c r="AF257">
        <f t="shared" si="37"/>
        <v>0</v>
      </c>
      <c r="AG257">
        <f t="shared" si="38"/>
        <v>0</v>
      </c>
      <c r="AH257">
        <f t="shared" si="39"/>
        <v>0</v>
      </c>
    </row>
    <row r="258" spans="1:34" ht="15.5" x14ac:dyDescent="0.35">
      <c r="A258" s="45" t="s">
        <v>25</v>
      </c>
      <c r="B258" s="45">
        <v>2020</v>
      </c>
      <c r="C258" s="45" t="s">
        <v>65</v>
      </c>
      <c r="D258" s="45" t="s">
        <v>142</v>
      </c>
      <c r="E258" s="55"/>
      <c r="F258" s="55"/>
      <c r="G258" s="55"/>
      <c r="H258" s="55"/>
      <c r="I258" s="55"/>
      <c r="J258" s="55"/>
      <c r="K258" s="55"/>
      <c r="L258" s="55">
        <v>300</v>
      </c>
      <c r="M258" s="55"/>
      <c r="N258" s="55"/>
      <c r="O258" s="55"/>
      <c r="P258" s="55">
        <v>2500</v>
      </c>
      <c r="Q258" s="55"/>
      <c r="R258" s="55"/>
      <c r="S258" s="55"/>
      <c r="T258" s="55"/>
      <c r="U258" s="55"/>
      <c r="V258" s="55"/>
      <c r="W258" s="57"/>
      <c r="X258" s="55"/>
      <c r="Y258" s="55">
        <f t="shared" si="30"/>
        <v>0</v>
      </c>
      <c r="Z258">
        <f t="shared" si="31"/>
        <v>0</v>
      </c>
      <c r="AA258">
        <f t="shared" si="32"/>
        <v>0</v>
      </c>
      <c r="AB258">
        <f t="shared" si="33"/>
        <v>300</v>
      </c>
      <c r="AC258">
        <f t="shared" si="34"/>
        <v>0</v>
      </c>
      <c r="AD258">
        <f t="shared" si="35"/>
        <v>2500</v>
      </c>
      <c r="AE258">
        <f t="shared" si="36"/>
        <v>0</v>
      </c>
      <c r="AF258">
        <f t="shared" si="37"/>
        <v>0</v>
      </c>
      <c r="AG258">
        <f t="shared" si="38"/>
        <v>0</v>
      </c>
      <c r="AH258">
        <f t="shared" si="39"/>
        <v>0</v>
      </c>
    </row>
    <row r="259" spans="1:34" x14ac:dyDescent="0.35">
      <c r="A259" s="45" t="s">
        <v>25</v>
      </c>
      <c r="B259" s="45">
        <v>2020</v>
      </c>
      <c r="C259" s="45" t="s">
        <v>65</v>
      </c>
      <c r="D259" s="45" t="s">
        <v>44</v>
      </c>
      <c r="E259" s="55"/>
      <c r="F259" s="55"/>
      <c r="G259" s="55"/>
      <c r="H259" s="55"/>
      <c r="I259" s="55"/>
      <c r="J259" s="55"/>
      <c r="K259" s="55">
        <v>2500</v>
      </c>
      <c r="L259" s="55"/>
      <c r="M259" s="55"/>
      <c r="N259" s="55"/>
      <c r="O259" s="55">
        <v>500</v>
      </c>
      <c r="P259" s="55"/>
      <c r="Q259" s="55"/>
      <c r="R259" s="55"/>
      <c r="S259" s="55"/>
      <c r="T259" s="55"/>
      <c r="U259" s="55"/>
      <c r="V259" s="55">
        <v>10000</v>
      </c>
      <c r="W259" s="55"/>
      <c r="X259" s="55"/>
      <c r="Y259" s="55">
        <f t="shared" si="30"/>
        <v>0</v>
      </c>
      <c r="Z259">
        <f t="shared" si="31"/>
        <v>0</v>
      </c>
      <c r="AA259">
        <f t="shared" si="32"/>
        <v>0</v>
      </c>
      <c r="AB259">
        <f t="shared" si="33"/>
        <v>2500</v>
      </c>
      <c r="AC259">
        <f t="shared" si="34"/>
        <v>0</v>
      </c>
      <c r="AD259">
        <f t="shared" si="35"/>
        <v>500</v>
      </c>
      <c r="AE259">
        <f t="shared" si="36"/>
        <v>0</v>
      </c>
      <c r="AF259">
        <f t="shared" si="37"/>
        <v>0</v>
      </c>
      <c r="AG259">
        <f t="shared" si="38"/>
        <v>10000</v>
      </c>
      <c r="AH259">
        <f t="shared" si="39"/>
        <v>0</v>
      </c>
    </row>
    <row r="260" spans="1:34" ht="15.5" x14ac:dyDescent="0.35">
      <c r="A260" s="45" t="s">
        <v>25</v>
      </c>
      <c r="B260" s="45">
        <v>2020</v>
      </c>
      <c r="C260" s="45" t="s">
        <v>43</v>
      </c>
      <c r="D260" s="45" t="s">
        <v>45</v>
      </c>
      <c r="E260" s="55"/>
      <c r="F260" s="55"/>
      <c r="G260" s="55"/>
      <c r="H260" s="55"/>
      <c r="I260" s="55"/>
      <c r="J260" s="55">
        <v>500</v>
      </c>
      <c r="K260" s="55"/>
      <c r="L260" s="55"/>
      <c r="M260" s="55"/>
      <c r="N260" s="55"/>
      <c r="O260" s="55"/>
      <c r="P260" s="55"/>
      <c r="Q260" s="55"/>
      <c r="R260" s="55"/>
      <c r="S260" s="55">
        <v>2500</v>
      </c>
      <c r="T260" s="55"/>
      <c r="U260" s="55"/>
      <c r="V260" s="55"/>
      <c r="W260" s="59"/>
      <c r="X260" s="55">
        <v>1000</v>
      </c>
      <c r="Y260" s="55">
        <f t="shared" si="30"/>
        <v>0</v>
      </c>
      <c r="Z260">
        <f t="shared" si="31"/>
        <v>0</v>
      </c>
      <c r="AA260">
        <f t="shared" si="32"/>
        <v>500</v>
      </c>
      <c r="AB260">
        <f t="shared" si="33"/>
        <v>0</v>
      </c>
      <c r="AC260">
        <f t="shared" si="34"/>
        <v>0</v>
      </c>
      <c r="AD260">
        <f t="shared" si="35"/>
        <v>0</v>
      </c>
      <c r="AE260">
        <f t="shared" si="36"/>
        <v>0</v>
      </c>
      <c r="AF260">
        <f t="shared" si="37"/>
        <v>2500</v>
      </c>
      <c r="AG260">
        <f t="shared" si="38"/>
        <v>0</v>
      </c>
      <c r="AH260">
        <f t="shared" si="39"/>
        <v>1000</v>
      </c>
    </row>
    <row r="261" spans="1:34" ht="15.5" x14ac:dyDescent="0.35">
      <c r="A261" s="45" t="s">
        <v>25</v>
      </c>
      <c r="B261" s="45">
        <v>2020</v>
      </c>
      <c r="C261" s="45" t="s">
        <v>43</v>
      </c>
      <c r="D261" s="45" t="s">
        <v>44</v>
      </c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9"/>
      <c r="Q261" s="55"/>
      <c r="R261" s="55"/>
      <c r="S261" s="55"/>
      <c r="T261" s="55"/>
      <c r="U261" s="55"/>
      <c r="V261" s="55"/>
      <c r="W261" s="55"/>
      <c r="X261" s="55"/>
      <c r="Y261" s="55">
        <f t="shared" ref="Y261:Y324" si="40">SUM(E261:F261)</f>
        <v>0</v>
      </c>
      <c r="Z261">
        <f t="shared" ref="Z261:Z324" si="41">SUM(G261:H261)</f>
        <v>0</v>
      </c>
      <c r="AA261">
        <f t="shared" ref="AA261:AA324" si="42">SUM(I261:J261)</f>
        <v>0</v>
      </c>
      <c r="AB261">
        <f t="shared" ref="AB261:AB324" si="43">SUM(K261:L261)</f>
        <v>0</v>
      </c>
      <c r="AC261">
        <f t="shared" ref="AC261:AC324" si="44">SUM(M261:N261)</f>
        <v>0</v>
      </c>
      <c r="AD261">
        <f t="shared" ref="AD261:AD324" si="45">SUM(O261:P261)</f>
        <v>0</v>
      </c>
      <c r="AE261">
        <f t="shared" ref="AE261:AE324" si="46">SUM(Q261:R261)</f>
        <v>0</v>
      </c>
      <c r="AF261">
        <f t="shared" ref="AF261:AF324" si="47">SUM(S261:T261)</f>
        <v>0</v>
      </c>
      <c r="AG261">
        <f t="shared" ref="AG261:AG324" si="48">SUM(U261:V261)</f>
        <v>0</v>
      </c>
      <c r="AH261">
        <f t="shared" ref="AH261:AH324" si="49">SUM(W261:X261)</f>
        <v>0</v>
      </c>
    </row>
    <row r="262" spans="1:34" ht="15.5" x14ac:dyDescent="0.35">
      <c r="A262" s="45" t="s">
        <v>25</v>
      </c>
      <c r="B262" s="45">
        <v>2020</v>
      </c>
      <c r="C262" s="45" t="s">
        <v>65</v>
      </c>
      <c r="D262" s="45" t="s">
        <v>45</v>
      </c>
      <c r="E262" s="55"/>
      <c r="F262" s="55"/>
      <c r="G262" s="55"/>
      <c r="H262" s="55"/>
      <c r="I262" s="55"/>
      <c r="J262" s="55"/>
      <c r="K262" s="55"/>
      <c r="L262" s="55"/>
      <c r="M262" s="55"/>
      <c r="N262" s="56">
        <v>34575</v>
      </c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>
        <f t="shared" si="40"/>
        <v>0</v>
      </c>
      <c r="Z262">
        <f t="shared" si="41"/>
        <v>0</v>
      </c>
      <c r="AA262">
        <f t="shared" si="42"/>
        <v>0</v>
      </c>
      <c r="AB262">
        <f t="shared" si="43"/>
        <v>0</v>
      </c>
      <c r="AC262">
        <f t="shared" si="44"/>
        <v>34575</v>
      </c>
      <c r="AD262">
        <f t="shared" si="45"/>
        <v>0</v>
      </c>
      <c r="AE262">
        <f t="shared" si="46"/>
        <v>0</v>
      </c>
      <c r="AF262">
        <f t="shared" si="47"/>
        <v>0</v>
      </c>
      <c r="AG262">
        <f t="shared" si="48"/>
        <v>0</v>
      </c>
      <c r="AH262">
        <f t="shared" si="49"/>
        <v>0</v>
      </c>
    </row>
    <row r="263" spans="1:34" ht="15.5" x14ac:dyDescent="0.35">
      <c r="A263" s="45" t="s">
        <v>25</v>
      </c>
      <c r="B263" s="45">
        <v>2020</v>
      </c>
      <c r="C263" s="45" t="s">
        <v>65</v>
      </c>
      <c r="D263" s="45" t="s">
        <v>44</v>
      </c>
      <c r="E263" s="55"/>
      <c r="F263" s="55"/>
      <c r="G263" s="55"/>
      <c r="H263" s="55"/>
      <c r="I263" s="55"/>
      <c r="J263" s="55"/>
      <c r="K263" s="55"/>
      <c r="L263" s="56">
        <v>24981.781999999999</v>
      </c>
      <c r="M263" s="55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>
        <f t="shared" si="40"/>
        <v>0</v>
      </c>
      <c r="Z263">
        <f t="shared" si="41"/>
        <v>0</v>
      </c>
      <c r="AA263">
        <f t="shared" si="42"/>
        <v>0</v>
      </c>
      <c r="AB263">
        <f t="shared" si="43"/>
        <v>24981.781999999999</v>
      </c>
      <c r="AC263">
        <f t="shared" si="44"/>
        <v>0</v>
      </c>
      <c r="AD263">
        <f t="shared" si="45"/>
        <v>0</v>
      </c>
      <c r="AE263">
        <f t="shared" si="46"/>
        <v>0</v>
      </c>
      <c r="AF263">
        <f t="shared" si="47"/>
        <v>0</v>
      </c>
      <c r="AG263">
        <f t="shared" si="48"/>
        <v>0</v>
      </c>
      <c r="AH263">
        <f t="shared" si="49"/>
        <v>0</v>
      </c>
    </row>
    <row r="264" spans="1:34" ht="15.5" x14ac:dyDescent="0.35">
      <c r="A264" s="45" t="s">
        <v>25</v>
      </c>
      <c r="B264" s="45">
        <v>2020</v>
      </c>
      <c r="C264" s="45" t="s">
        <v>43</v>
      </c>
      <c r="D264" s="45" t="s">
        <v>45</v>
      </c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6">
        <v>8175</v>
      </c>
      <c r="U264" s="55"/>
      <c r="V264" s="55"/>
      <c r="W264" s="55"/>
      <c r="X264" s="55"/>
      <c r="Y264" s="55">
        <f t="shared" si="40"/>
        <v>0</v>
      </c>
      <c r="Z264">
        <f t="shared" si="41"/>
        <v>0</v>
      </c>
      <c r="AA264">
        <f t="shared" si="42"/>
        <v>0</v>
      </c>
      <c r="AB264">
        <f t="shared" si="43"/>
        <v>0</v>
      </c>
      <c r="AC264">
        <f t="shared" si="44"/>
        <v>0</v>
      </c>
      <c r="AD264">
        <f t="shared" si="45"/>
        <v>0</v>
      </c>
      <c r="AE264">
        <f t="shared" si="46"/>
        <v>0</v>
      </c>
      <c r="AF264">
        <f t="shared" si="47"/>
        <v>8175</v>
      </c>
      <c r="AG264">
        <f t="shared" si="48"/>
        <v>0</v>
      </c>
      <c r="AH264">
        <f t="shared" si="49"/>
        <v>0</v>
      </c>
    </row>
    <row r="265" spans="1:34" ht="15.5" x14ac:dyDescent="0.35">
      <c r="A265" s="45" t="s">
        <v>25</v>
      </c>
      <c r="B265" s="45">
        <v>2021</v>
      </c>
      <c r="C265" s="45" t="s">
        <v>43</v>
      </c>
      <c r="D265" s="45" t="s">
        <v>46</v>
      </c>
      <c r="E265" s="55"/>
      <c r="F265" s="56">
        <v>3000</v>
      </c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>
        <f t="shared" si="40"/>
        <v>3000</v>
      </c>
      <c r="Z265">
        <f t="shared" si="41"/>
        <v>0</v>
      </c>
      <c r="AA265">
        <f t="shared" si="42"/>
        <v>0</v>
      </c>
      <c r="AB265">
        <f t="shared" si="43"/>
        <v>0</v>
      </c>
      <c r="AC265">
        <f t="shared" si="44"/>
        <v>0</v>
      </c>
      <c r="AD265">
        <f t="shared" si="45"/>
        <v>0</v>
      </c>
      <c r="AE265">
        <f t="shared" si="46"/>
        <v>0</v>
      </c>
      <c r="AF265">
        <f t="shared" si="47"/>
        <v>0</v>
      </c>
      <c r="AG265">
        <f t="shared" si="48"/>
        <v>0</v>
      </c>
      <c r="AH265">
        <f t="shared" si="49"/>
        <v>0</v>
      </c>
    </row>
    <row r="266" spans="1:34" ht="15.5" x14ac:dyDescent="0.35">
      <c r="A266" s="45" t="s">
        <v>25</v>
      </c>
      <c r="B266" s="45">
        <v>2021</v>
      </c>
      <c r="C266" s="45" t="s">
        <v>65</v>
      </c>
      <c r="D266" s="45" t="s">
        <v>46</v>
      </c>
      <c r="E266" s="55"/>
      <c r="F266" s="55">
        <v>2000</v>
      </c>
      <c r="G266" s="55">
        <v>1500</v>
      </c>
      <c r="H266" s="55"/>
      <c r="I266" s="55">
        <v>300</v>
      </c>
      <c r="J266" s="55"/>
      <c r="K266" s="55">
        <v>500</v>
      </c>
      <c r="L266" s="55"/>
      <c r="M266" s="55"/>
      <c r="N266" s="56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>
        <f t="shared" si="40"/>
        <v>2000</v>
      </c>
      <c r="Z266">
        <f t="shared" si="41"/>
        <v>1500</v>
      </c>
      <c r="AA266">
        <f t="shared" si="42"/>
        <v>300</v>
      </c>
      <c r="AB266">
        <f t="shared" si="43"/>
        <v>500</v>
      </c>
      <c r="AC266">
        <f t="shared" si="44"/>
        <v>0</v>
      </c>
      <c r="AD266">
        <f t="shared" si="45"/>
        <v>0</v>
      </c>
      <c r="AE266">
        <f t="shared" si="46"/>
        <v>0</v>
      </c>
      <c r="AF266">
        <f t="shared" si="47"/>
        <v>0</v>
      </c>
      <c r="AG266">
        <f t="shared" si="48"/>
        <v>0</v>
      </c>
      <c r="AH266">
        <f t="shared" si="49"/>
        <v>0</v>
      </c>
    </row>
    <row r="267" spans="1:34" ht="15.5" x14ac:dyDescent="0.35">
      <c r="A267" s="45" t="s">
        <v>25</v>
      </c>
      <c r="B267" s="45">
        <v>2021</v>
      </c>
      <c r="C267" s="45" t="s">
        <v>65</v>
      </c>
      <c r="D267" s="45" t="s">
        <v>139</v>
      </c>
      <c r="E267" s="55">
        <v>1500</v>
      </c>
      <c r="F267" s="55"/>
      <c r="G267" s="55"/>
      <c r="H267" s="55">
        <v>2000</v>
      </c>
      <c r="I267" s="55"/>
      <c r="J267" s="55"/>
      <c r="K267" s="55">
        <v>300</v>
      </c>
      <c r="L267" s="56"/>
      <c r="M267" s="55"/>
      <c r="N267" s="55"/>
      <c r="O267" s="55"/>
      <c r="P267" s="55"/>
      <c r="Q267" s="55"/>
      <c r="R267" s="55">
        <v>300</v>
      </c>
      <c r="S267" s="55"/>
      <c r="T267" s="55"/>
      <c r="U267" s="55"/>
      <c r="V267" s="55"/>
      <c r="W267" s="55"/>
      <c r="X267" s="55"/>
      <c r="Y267" s="55">
        <f t="shared" si="40"/>
        <v>1500</v>
      </c>
      <c r="Z267">
        <f t="shared" si="41"/>
        <v>2000</v>
      </c>
      <c r="AA267">
        <f t="shared" si="42"/>
        <v>0</v>
      </c>
      <c r="AB267">
        <f t="shared" si="43"/>
        <v>300</v>
      </c>
      <c r="AC267">
        <f t="shared" si="44"/>
        <v>0</v>
      </c>
      <c r="AD267">
        <f t="shared" si="45"/>
        <v>0</v>
      </c>
      <c r="AE267">
        <f t="shared" si="46"/>
        <v>300</v>
      </c>
      <c r="AF267">
        <f t="shared" si="47"/>
        <v>0</v>
      </c>
      <c r="AG267">
        <f t="shared" si="48"/>
        <v>0</v>
      </c>
      <c r="AH267">
        <f t="shared" si="49"/>
        <v>0</v>
      </c>
    </row>
    <row r="268" spans="1:34" ht="15.5" x14ac:dyDescent="0.35">
      <c r="A268" s="45" t="s">
        <v>25</v>
      </c>
      <c r="B268" s="45">
        <v>2021</v>
      </c>
      <c r="C268" s="45" t="s">
        <v>43</v>
      </c>
      <c r="D268" s="45" t="s">
        <v>139</v>
      </c>
      <c r="E268" s="55"/>
      <c r="F268" s="55"/>
      <c r="G268" s="55"/>
      <c r="H268" s="55"/>
      <c r="I268" s="55"/>
      <c r="J268" s="55"/>
      <c r="K268" s="55"/>
      <c r="L268" s="55"/>
      <c r="M268" s="55"/>
      <c r="N268" s="57"/>
      <c r="O268" s="55"/>
      <c r="P268" s="55"/>
      <c r="Q268" s="55">
        <v>2500</v>
      </c>
      <c r="R268" s="55"/>
      <c r="S268" s="55"/>
      <c r="T268" s="55"/>
      <c r="U268" s="55"/>
      <c r="V268" s="55">
        <v>208</v>
      </c>
      <c r="W268" s="55"/>
      <c r="X268" s="55"/>
      <c r="Y268" s="55">
        <f t="shared" si="40"/>
        <v>0</v>
      </c>
      <c r="Z268">
        <f t="shared" si="41"/>
        <v>0</v>
      </c>
      <c r="AA268">
        <f t="shared" si="42"/>
        <v>0</v>
      </c>
      <c r="AB268">
        <f t="shared" si="43"/>
        <v>0</v>
      </c>
      <c r="AC268">
        <f t="shared" si="44"/>
        <v>0</v>
      </c>
      <c r="AD268">
        <f t="shared" si="45"/>
        <v>0</v>
      </c>
      <c r="AE268">
        <f t="shared" si="46"/>
        <v>2500</v>
      </c>
      <c r="AF268">
        <f t="shared" si="47"/>
        <v>0</v>
      </c>
      <c r="AG268">
        <f t="shared" si="48"/>
        <v>208</v>
      </c>
      <c r="AH268">
        <f t="shared" si="49"/>
        <v>0</v>
      </c>
    </row>
    <row r="269" spans="1:34" ht="15.5" x14ac:dyDescent="0.35">
      <c r="A269" s="45" t="s">
        <v>25</v>
      </c>
      <c r="B269" s="45">
        <v>2021</v>
      </c>
      <c r="C269" s="45" t="s">
        <v>43</v>
      </c>
      <c r="D269" s="45" t="s">
        <v>69</v>
      </c>
      <c r="E269" s="55"/>
      <c r="F269" s="55"/>
      <c r="G269" s="55"/>
      <c r="H269" s="55"/>
      <c r="I269" s="55"/>
      <c r="J269" s="55">
        <v>1000</v>
      </c>
      <c r="K269" s="55">
        <v>12000</v>
      </c>
      <c r="L269" s="58"/>
      <c r="M269" s="55">
        <v>10000</v>
      </c>
      <c r="N269" s="55"/>
      <c r="O269" s="55"/>
      <c r="P269" s="55">
        <v>500</v>
      </c>
      <c r="Q269" s="55"/>
      <c r="R269" s="55"/>
      <c r="S269" s="55"/>
      <c r="T269" s="55"/>
      <c r="U269" s="55"/>
      <c r="V269" s="55"/>
      <c r="W269" s="55">
        <v>510</v>
      </c>
      <c r="X269" s="55"/>
      <c r="Y269" s="55">
        <f t="shared" si="40"/>
        <v>0</v>
      </c>
      <c r="Z269">
        <f t="shared" si="41"/>
        <v>0</v>
      </c>
      <c r="AA269">
        <f t="shared" si="42"/>
        <v>1000</v>
      </c>
      <c r="AB269">
        <f t="shared" si="43"/>
        <v>12000</v>
      </c>
      <c r="AC269">
        <f t="shared" si="44"/>
        <v>10000</v>
      </c>
      <c r="AD269">
        <f t="shared" si="45"/>
        <v>500</v>
      </c>
      <c r="AE269">
        <f t="shared" si="46"/>
        <v>0</v>
      </c>
      <c r="AF269">
        <f t="shared" si="47"/>
        <v>0</v>
      </c>
      <c r="AG269">
        <f t="shared" si="48"/>
        <v>0</v>
      </c>
      <c r="AH269">
        <f t="shared" si="49"/>
        <v>510</v>
      </c>
    </row>
    <row r="270" spans="1:34" ht="15.5" x14ac:dyDescent="0.35">
      <c r="A270" s="45" t="s">
        <v>25</v>
      </c>
      <c r="B270" s="45">
        <v>2021</v>
      </c>
      <c r="C270" s="45" t="s">
        <v>65</v>
      </c>
      <c r="D270" s="45" t="s">
        <v>140</v>
      </c>
      <c r="E270" s="55"/>
      <c r="F270" s="55"/>
      <c r="G270" s="55"/>
      <c r="H270" s="55"/>
      <c r="I270" s="55">
        <v>700</v>
      </c>
      <c r="J270" s="55"/>
      <c r="K270" s="55"/>
      <c r="L270" s="55">
        <v>200</v>
      </c>
      <c r="M270" s="55"/>
      <c r="N270" s="59"/>
      <c r="O270" s="55">
        <v>1000</v>
      </c>
      <c r="P270" s="55"/>
      <c r="Q270" s="55"/>
      <c r="R270" s="55"/>
      <c r="S270" s="55"/>
      <c r="T270" s="55"/>
      <c r="U270" s="55"/>
      <c r="V270" s="55"/>
      <c r="W270" s="55"/>
      <c r="X270" s="55"/>
      <c r="Y270" s="55">
        <f t="shared" si="40"/>
        <v>0</v>
      </c>
      <c r="Z270">
        <f t="shared" si="41"/>
        <v>0</v>
      </c>
      <c r="AA270">
        <f t="shared" si="42"/>
        <v>700</v>
      </c>
      <c r="AB270">
        <f t="shared" si="43"/>
        <v>200</v>
      </c>
      <c r="AC270">
        <f t="shared" si="44"/>
        <v>0</v>
      </c>
      <c r="AD270">
        <f t="shared" si="45"/>
        <v>1000</v>
      </c>
      <c r="AE270">
        <f t="shared" si="46"/>
        <v>0</v>
      </c>
      <c r="AF270">
        <f t="shared" si="47"/>
        <v>0</v>
      </c>
      <c r="AG270">
        <f t="shared" si="48"/>
        <v>0</v>
      </c>
      <c r="AH270">
        <f t="shared" si="49"/>
        <v>0</v>
      </c>
    </row>
    <row r="271" spans="1:34" ht="15.5" x14ac:dyDescent="0.35">
      <c r="A271" s="45" t="s">
        <v>25</v>
      </c>
      <c r="B271" s="45">
        <v>2021</v>
      </c>
      <c r="C271" s="45" t="s">
        <v>65</v>
      </c>
      <c r="D271" s="45" t="s">
        <v>141</v>
      </c>
      <c r="E271" s="55"/>
      <c r="F271" s="55"/>
      <c r="G271" s="55"/>
      <c r="H271" s="55"/>
      <c r="I271" s="55"/>
      <c r="J271" s="55"/>
      <c r="K271" s="55"/>
      <c r="L271" s="59"/>
      <c r="M271" s="55"/>
      <c r="N271" s="55">
        <v>50</v>
      </c>
      <c r="O271" s="55"/>
      <c r="P271" s="55"/>
      <c r="Q271" s="55"/>
      <c r="R271" s="55"/>
      <c r="S271" s="55"/>
      <c r="T271" s="55">
        <v>500</v>
      </c>
      <c r="U271" s="55"/>
      <c r="V271" s="55"/>
      <c r="W271" s="55"/>
      <c r="X271" s="55"/>
      <c r="Y271" s="55">
        <f t="shared" si="40"/>
        <v>0</v>
      </c>
      <c r="Z271">
        <f t="shared" si="41"/>
        <v>0</v>
      </c>
      <c r="AA271">
        <f t="shared" si="42"/>
        <v>0</v>
      </c>
      <c r="AB271">
        <f t="shared" si="43"/>
        <v>0</v>
      </c>
      <c r="AC271">
        <f t="shared" si="44"/>
        <v>50</v>
      </c>
      <c r="AD271">
        <f t="shared" si="45"/>
        <v>0</v>
      </c>
      <c r="AE271">
        <f t="shared" si="46"/>
        <v>0</v>
      </c>
      <c r="AF271">
        <f t="shared" si="47"/>
        <v>500</v>
      </c>
      <c r="AG271">
        <f t="shared" si="48"/>
        <v>0</v>
      </c>
      <c r="AH271">
        <f t="shared" si="49"/>
        <v>0</v>
      </c>
    </row>
    <row r="272" spans="1:34" ht="15.5" x14ac:dyDescent="0.35">
      <c r="A272" s="45" t="s">
        <v>25</v>
      </c>
      <c r="B272" s="45">
        <v>2021</v>
      </c>
      <c r="C272" s="45" t="s">
        <v>43</v>
      </c>
      <c r="D272" s="45" t="s">
        <v>69</v>
      </c>
      <c r="E272" s="55"/>
      <c r="F272" s="56">
        <v>34575</v>
      </c>
      <c r="G272" s="55"/>
      <c r="H272" s="55"/>
      <c r="I272" s="55"/>
      <c r="J272" s="55"/>
      <c r="K272" s="55"/>
      <c r="L272" s="55"/>
      <c r="M272" s="55"/>
      <c r="N272" s="59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>
        <f t="shared" si="40"/>
        <v>34575</v>
      </c>
      <c r="Z272">
        <f t="shared" si="41"/>
        <v>0</v>
      </c>
      <c r="AA272">
        <f t="shared" si="42"/>
        <v>0</v>
      </c>
      <c r="AB272">
        <f t="shared" si="43"/>
        <v>0</v>
      </c>
      <c r="AC272">
        <f t="shared" si="44"/>
        <v>0</v>
      </c>
      <c r="AD272">
        <f t="shared" si="45"/>
        <v>0</v>
      </c>
      <c r="AE272">
        <f t="shared" si="46"/>
        <v>0</v>
      </c>
      <c r="AF272">
        <f t="shared" si="47"/>
        <v>0</v>
      </c>
      <c r="AG272">
        <f t="shared" si="48"/>
        <v>0</v>
      </c>
      <c r="AH272">
        <f t="shared" si="49"/>
        <v>0</v>
      </c>
    </row>
    <row r="273" spans="1:34" ht="15.5" x14ac:dyDescent="0.35">
      <c r="A273" s="45" t="s">
        <v>25</v>
      </c>
      <c r="B273" s="45">
        <v>2021</v>
      </c>
      <c r="C273" s="45" t="s">
        <v>43</v>
      </c>
      <c r="D273" s="45" t="s">
        <v>142</v>
      </c>
      <c r="E273" s="55"/>
      <c r="F273" s="55"/>
      <c r="G273" s="55"/>
      <c r="H273" s="55"/>
      <c r="I273" s="55"/>
      <c r="J273" s="55"/>
      <c r="K273" s="55"/>
      <c r="L273" s="55"/>
      <c r="M273" s="55"/>
      <c r="N273" s="59"/>
      <c r="O273" s="55"/>
      <c r="P273" s="55"/>
      <c r="Q273" s="55"/>
      <c r="R273" s="55">
        <v>100</v>
      </c>
      <c r="S273" s="55"/>
      <c r="T273" s="55"/>
      <c r="U273" s="55"/>
      <c r="V273" s="55"/>
      <c r="W273" s="55"/>
      <c r="X273" s="55"/>
      <c r="Y273" s="55">
        <f t="shared" si="40"/>
        <v>0</v>
      </c>
      <c r="Z273">
        <f t="shared" si="41"/>
        <v>0</v>
      </c>
      <c r="AA273">
        <f t="shared" si="42"/>
        <v>0</v>
      </c>
      <c r="AB273">
        <f t="shared" si="43"/>
        <v>0</v>
      </c>
      <c r="AC273">
        <f t="shared" si="44"/>
        <v>0</v>
      </c>
      <c r="AD273">
        <f t="shared" si="45"/>
        <v>0</v>
      </c>
      <c r="AE273">
        <f t="shared" si="46"/>
        <v>100</v>
      </c>
      <c r="AF273">
        <f t="shared" si="47"/>
        <v>0</v>
      </c>
      <c r="AG273">
        <f t="shared" si="48"/>
        <v>0</v>
      </c>
      <c r="AH273">
        <f t="shared" si="49"/>
        <v>0</v>
      </c>
    </row>
    <row r="274" spans="1:34" ht="15.5" x14ac:dyDescent="0.35">
      <c r="A274" s="45" t="s">
        <v>25</v>
      </c>
      <c r="B274" s="45">
        <v>2021</v>
      </c>
      <c r="C274" s="45" t="s">
        <v>65</v>
      </c>
      <c r="D274" s="45" t="s">
        <v>44</v>
      </c>
      <c r="E274" s="55"/>
      <c r="F274" s="55"/>
      <c r="G274" s="55"/>
      <c r="H274" s="55"/>
      <c r="I274" s="55"/>
      <c r="J274" s="55"/>
      <c r="K274" s="55"/>
      <c r="L274" s="59"/>
      <c r="M274" s="55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>
        <f t="shared" si="40"/>
        <v>0</v>
      </c>
      <c r="Z274">
        <f t="shared" si="41"/>
        <v>0</v>
      </c>
      <c r="AA274">
        <f t="shared" si="42"/>
        <v>0</v>
      </c>
      <c r="AB274">
        <f t="shared" si="43"/>
        <v>0</v>
      </c>
      <c r="AC274">
        <f t="shared" si="44"/>
        <v>0</v>
      </c>
      <c r="AD274">
        <f t="shared" si="45"/>
        <v>0</v>
      </c>
      <c r="AE274">
        <f t="shared" si="46"/>
        <v>0</v>
      </c>
      <c r="AF274">
        <f t="shared" si="47"/>
        <v>0</v>
      </c>
      <c r="AG274">
        <f t="shared" si="48"/>
        <v>0</v>
      </c>
      <c r="AH274">
        <f t="shared" si="49"/>
        <v>0</v>
      </c>
    </row>
    <row r="275" spans="1:34" ht="15.5" x14ac:dyDescent="0.35">
      <c r="A275" s="45" t="s">
        <v>25</v>
      </c>
      <c r="B275" s="45">
        <v>2021</v>
      </c>
      <c r="C275" s="45" t="s">
        <v>65</v>
      </c>
      <c r="D275" s="45" t="s">
        <v>45</v>
      </c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6">
        <v>3000</v>
      </c>
      <c r="U275" s="55"/>
      <c r="V275" s="55"/>
      <c r="W275" s="55"/>
      <c r="X275" s="55"/>
      <c r="Y275" s="55">
        <f t="shared" si="40"/>
        <v>0</v>
      </c>
      <c r="Z275">
        <f t="shared" si="41"/>
        <v>0</v>
      </c>
      <c r="AA275">
        <f t="shared" si="42"/>
        <v>0</v>
      </c>
      <c r="AB275">
        <f t="shared" si="43"/>
        <v>0</v>
      </c>
      <c r="AC275">
        <f t="shared" si="44"/>
        <v>0</v>
      </c>
      <c r="AD275">
        <f t="shared" si="45"/>
        <v>0</v>
      </c>
      <c r="AE275">
        <f t="shared" si="46"/>
        <v>0</v>
      </c>
      <c r="AF275">
        <f t="shared" si="47"/>
        <v>3000</v>
      </c>
      <c r="AG275">
        <f t="shared" si="48"/>
        <v>0</v>
      </c>
      <c r="AH275">
        <f t="shared" si="49"/>
        <v>0</v>
      </c>
    </row>
    <row r="276" spans="1:34" ht="15.5" x14ac:dyDescent="0.35">
      <c r="A276" s="45" t="s">
        <v>25</v>
      </c>
      <c r="B276" s="45">
        <v>2021</v>
      </c>
      <c r="C276" s="45" t="s">
        <v>43</v>
      </c>
      <c r="D276" s="45" t="s">
        <v>44</v>
      </c>
      <c r="E276" s="55"/>
      <c r="F276" s="56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>
        <v>2000</v>
      </c>
      <c r="U276" s="55">
        <v>1500</v>
      </c>
      <c r="V276" s="55"/>
      <c r="W276" s="55">
        <v>300</v>
      </c>
      <c r="X276" s="55"/>
      <c r="Y276" s="55">
        <f t="shared" si="40"/>
        <v>0</v>
      </c>
      <c r="Z276">
        <f t="shared" si="41"/>
        <v>0</v>
      </c>
      <c r="AA276">
        <f t="shared" si="42"/>
        <v>0</v>
      </c>
      <c r="AB276">
        <f t="shared" si="43"/>
        <v>0</v>
      </c>
      <c r="AC276">
        <f t="shared" si="44"/>
        <v>0</v>
      </c>
      <c r="AD276">
        <f t="shared" si="45"/>
        <v>0</v>
      </c>
      <c r="AE276">
        <f t="shared" si="46"/>
        <v>0</v>
      </c>
      <c r="AF276">
        <f t="shared" si="47"/>
        <v>2000</v>
      </c>
      <c r="AG276">
        <f t="shared" si="48"/>
        <v>1500</v>
      </c>
      <c r="AH276">
        <f t="shared" si="49"/>
        <v>300</v>
      </c>
    </row>
    <row r="277" spans="1:34" ht="15.5" x14ac:dyDescent="0.35">
      <c r="A277" s="45" t="s">
        <v>25</v>
      </c>
      <c r="B277" s="45">
        <v>2021</v>
      </c>
      <c r="C277" s="45" t="s">
        <v>43</v>
      </c>
      <c r="D277" s="45" t="s">
        <v>45</v>
      </c>
      <c r="E277" s="55"/>
      <c r="F277" s="55"/>
      <c r="G277" s="55"/>
      <c r="H277" s="55"/>
      <c r="I277" s="55"/>
      <c r="J277" s="55">
        <v>300</v>
      </c>
      <c r="K277" s="55"/>
      <c r="L277" s="55"/>
      <c r="M277" s="55"/>
      <c r="N277" s="59"/>
      <c r="O277" s="56">
        <v>8175</v>
      </c>
      <c r="P277" s="55"/>
      <c r="Q277" s="55"/>
      <c r="R277" s="55"/>
      <c r="S277" s="55">
        <v>1500</v>
      </c>
      <c r="T277" s="55"/>
      <c r="U277" s="55"/>
      <c r="V277" s="55">
        <v>2000</v>
      </c>
      <c r="W277" s="55"/>
      <c r="X277" s="55"/>
      <c r="Y277" s="55">
        <f t="shared" si="40"/>
        <v>0</v>
      </c>
      <c r="Z277">
        <f t="shared" si="41"/>
        <v>0</v>
      </c>
      <c r="AA277">
        <f t="shared" si="42"/>
        <v>300</v>
      </c>
      <c r="AB277">
        <f t="shared" si="43"/>
        <v>0</v>
      </c>
      <c r="AC277">
        <f t="shared" si="44"/>
        <v>0</v>
      </c>
      <c r="AD277">
        <f t="shared" si="45"/>
        <v>8175</v>
      </c>
      <c r="AE277">
        <f t="shared" si="46"/>
        <v>0</v>
      </c>
      <c r="AF277">
        <f t="shared" si="47"/>
        <v>1500</v>
      </c>
      <c r="AG277">
        <f t="shared" si="48"/>
        <v>2000</v>
      </c>
      <c r="AH277">
        <f t="shared" si="49"/>
        <v>0</v>
      </c>
    </row>
    <row r="278" spans="1:34" ht="15.5" x14ac:dyDescent="0.35">
      <c r="A278" s="45" t="s">
        <v>25</v>
      </c>
      <c r="B278" s="45">
        <v>2021</v>
      </c>
      <c r="C278" s="45" t="s">
        <v>65</v>
      </c>
      <c r="D278" s="45" t="s">
        <v>44</v>
      </c>
      <c r="E278" s="55"/>
      <c r="F278" s="57"/>
      <c r="G278" s="55"/>
      <c r="H278" s="55"/>
      <c r="I278" s="55">
        <v>2500</v>
      </c>
      <c r="J278" s="55"/>
      <c r="K278" s="55"/>
      <c r="L278" s="55"/>
      <c r="M278" s="55"/>
      <c r="N278" s="59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>
        <f t="shared" si="40"/>
        <v>0</v>
      </c>
      <c r="Z278">
        <f t="shared" si="41"/>
        <v>0</v>
      </c>
      <c r="AA278">
        <f t="shared" si="42"/>
        <v>2500</v>
      </c>
      <c r="AB278">
        <f t="shared" si="43"/>
        <v>0</v>
      </c>
      <c r="AC278">
        <f t="shared" si="44"/>
        <v>0</v>
      </c>
      <c r="AD278">
        <f t="shared" si="45"/>
        <v>0</v>
      </c>
      <c r="AE278">
        <f t="shared" si="46"/>
        <v>0</v>
      </c>
      <c r="AF278">
        <f t="shared" si="47"/>
        <v>0</v>
      </c>
      <c r="AG278">
        <f t="shared" si="48"/>
        <v>0</v>
      </c>
      <c r="AH278">
        <f t="shared" si="49"/>
        <v>0</v>
      </c>
    </row>
    <row r="279" spans="1:34" ht="15.5" x14ac:dyDescent="0.35">
      <c r="A279" s="45" t="s">
        <v>25</v>
      </c>
      <c r="B279" s="45">
        <v>2021</v>
      </c>
      <c r="C279" s="45" t="s">
        <v>65</v>
      </c>
      <c r="D279" s="45" t="s">
        <v>45</v>
      </c>
      <c r="E279" s="55">
        <v>10000</v>
      </c>
      <c r="F279" s="55"/>
      <c r="G279" s="55"/>
      <c r="H279" s="55">
        <v>500</v>
      </c>
      <c r="I279" s="55"/>
      <c r="J279" s="55"/>
      <c r="K279" s="55">
        <v>12000</v>
      </c>
      <c r="L279" s="58"/>
      <c r="M279" s="55">
        <v>10000</v>
      </c>
      <c r="N279" s="55"/>
      <c r="O279" s="55"/>
      <c r="P279" s="55">
        <v>600</v>
      </c>
      <c r="Q279" s="55"/>
      <c r="R279" s="55"/>
      <c r="S279" s="55"/>
      <c r="T279" s="55"/>
      <c r="U279" s="55"/>
      <c r="V279" s="55"/>
      <c r="W279" s="55"/>
      <c r="X279" s="55">
        <v>1000</v>
      </c>
      <c r="Y279" s="55">
        <f t="shared" si="40"/>
        <v>10000</v>
      </c>
      <c r="Z279">
        <f t="shared" si="41"/>
        <v>500</v>
      </c>
      <c r="AA279">
        <f t="shared" si="42"/>
        <v>0</v>
      </c>
      <c r="AB279">
        <f t="shared" si="43"/>
        <v>12000</v>
      </c>
      <c r="AC279">
        <f t="shared" si="44"/>
        <v>10000</v>
      </c>
      <c r="AD279">
        <f t="shared" si="45"/>
        <v>600</v>
      </c>
      <c r="AE279">
        <f t="shared" si="46"/>
        <v>0</v>
      </c>
      <c r="AF279">
        <f t="shared" si="47"/>
        <v>0</v>
      </c>
      <c r="AG279">
        <f t="shared" si="48"/>
        <v>0</v>
      </c>
      <c r="AH279">
        <f t="shared" si="49"/>
        <v>1000</v>
      </c>
    </row>
    <row r="280" spans="1:34" ht="15.5" x14ac:dyDescent="0.35">
      <c r="A280" s="45" t="s">
        <v>25</v>
      </c>
      <c r="B280" s="45">
        <v>2017</v>
      </c>
      <c r="C280" s="45" t="s">
        <v>43</v>
      </c>
      <c r="D280" s="45" t="s">
        <v>46</v>
      </c>
      <c r="E280" s="55"/>
      <c r="F280" s="59"/>
      <c r="G280" s="55">
        <v>1000</v>
      </c>
      <c r="H280" s="55"/>
      <c r="I280" s="55"/>
      <c r="J280" s="55"/>
      <c r="K280" s="55"/>
      <c r="L280" s="55">
        <v>200</v>
      </c>
      <c r="M280" s="55"/>
      <c r="N280" s="59"/>
      <c r="O280" s="55"/>
      <c r="P280" s="55"/>
      <c r="Q280" s="55"/>
      <c r="R280" s="55"/>
      <c r="S280" s="55"/>
      <c r="T280" s="55"/>
      <c r="U280" s="55"/>
      <c r="V280" s="55"/>
      <c r="W280" s="55">
        <v>700</v>
      </c>
      <c r="X280" s="55"/>
      <c r="Y280" s="55">
        <f t="shared" si="40"/>
        <v>0</v>
      </c>
      <c r="Z280">
        <f t="shared" si="41"/>
        <v>1000</v>
      </c>
      <c r="AA280">
        <f t="shared" si="42"/>
        <v>0</v>
      </c>
      <c r="AB280">
        <f t="shared" si="43"/>
        <v>200</v>
      </c>
      <c r="AC280">
        <f t="shared" si="44"/>
        <v>0</v>
      </c>
      <c r="AD280">
        <f t="shared" si="45"/>
        <v>0</v>
      </c>
      <c r="AE280">
        <f t="shared" si="46"/>
        <v>0</v>
      </c>
      <c r="AF280">
        <f t="shared" si="47"/>
        <v>0</v>
      </c>
      <c r="AG280">
        <f t="shared" si="48"/>
        <v>0</v>
      </c>
      <c r="AH280">
        <f t="shared" si="49"/>
        <v>700</v>
      </c>
    </row>
    <row r="281" spans="1:34" ht="15.5" x14ac:dyDescent="0.35">
      <c r="A281" s="45" t="s">
        <v>25</v>
      </c>
      <c r="B281" s="45">
        <v>2017</v>
      </c>
      <c r="C281" s="45" t="s">
        <v>43</v>
      </c>
      <c r="D281" s="45" t="s">
        <v>46</v>
      </c>
      <c r="E281" s="55"/>
      <c r="F281" s="55">
        <v>50</v>
      </c>
      <c r="G281" s="55"/>
      <c r="H281" s="55"/>
      <c r="I281" s="55"/>
      <c r="J281" s="55"/>
      <c r="K281" s="55"/>
      <c r="L281" s="59"/>
      <c r="M281" s="55"/>
      <c r="N281" s="59"/>
      <c r="O281" s="55"/>
      <c r="P281" s="55"/>
      <c r="Q281" s="55">
        <v>208</v>
      </c>
      <c r="R281" s="55"/>
      <c r="S281" s="55"/>
      <c r="T281" s="55"/>
      <c r="U281" s="55"/>
      <c r="V281" s="55"/>
      <c r="W281" s="55"/>
      <c r="X281" s="55"/>
      <c r="Y281" s="55">
        <f t="shared" si="40"/>
        <v>50</v>
      </c>
      <c r="Z281">
        <f t="shared" si="41"/>
        <v>0</v>
      </c>
      <c r="AA281">
        <f t="shared" si="42"/>
        <v>0</v>
      </c>
      <c r="AB281">
        <f t="shared" si="43"/>
        <v>0</v>
      </c>
      <c r="AC281">
        <f t="shared" si="44"/>
        <v>0</v>
      </c>
      <c r="AD281">
        <f t="shared" si="45"/>
        <v>0</v>
      </c>
      <c r="AE281">
        <f t="shared" si="46"/>
        <v>208</v>
      </c>
      <c r="AF281">
        <f t="shared" si="47"/>
        <v>0</v>
      </c>
      <c r="AG281">
        <f t="shared" si="48"/>
        <v>0</v>
      </c>
      <c r="AH281">
        <f t="shared" si="49"/>
        <v>0</v>
      </c>
    </row>
    <row r="282" spans="1:34" ht="15.5" x14ac:dyDescent="0.35">
      <c r="A282" s="45" t="s">
        <v>25</v>
      </c>
      <c r="B282" s="45">
        <v>2017</v>
      </c>
      <c r="C282" s="45" t="s">
        <v>65</v>
      </c>
      <c r="D282" s="45" t="s">
        <v>139</v>
      </c>
      <c r="E282" s="55"/>
      <c r="F282" s="59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>
        <v>510</v>
      </c>
      <c r="S282" s="55"/>
      <c r="T282" s="55"/>
      <c r="U282" s="55"/>
      <c r="V282" s="55"/>
      <c r="W282" s="55"/>
      <c r="X282" s="55">
        <v>88</v>
      </c>
      <c r="Y282" s="55">
        <f t="shared" si="40"/>
        <v>0</v>
      </c>
      <c r="Z282">
        <f t="shared" si="41"/>
        <v>0</v>
      </c>
      <c r="AA282">
        <f t="shared" si="42"/>
        <v>0</v>
      </c>
      <c r="AB282">
        <f t="shared" si="43"/>
        <v>0</v>
      </c>
      <c r="AC282">
        <f t="shared" si="44"/>
        <v>0</v>
      </c>
      <c r="AD282">
        <f t="shared" si="45"/>
        <v>0</v>
      </c>
      <c r="AE282">
        <f t="shared" si="46"/>
        <v>510</v>
      </c>
      <c r="AF282">
        <f t="shared" si="47"/>
        <v>0</v>
      </c>
      <c r="AG282">
        <f t="shared" si="48"/>
        <v>0</v>
      </c>
      <c r="AH282">
        <f t="shared" si="49"/>
        <v>88</v>
      </c>
    </row>
    <row r="283" spans="1:34" ht="15.5" x14ac:dyDescent="0.35">
      <c r="A283" s="45" t="s">
        <v>25</v>
      </c>
      <c r="B283" s="45">
        <v>2017</v>
      </c>
      <c r="C283" s="45" t="s">
        <v>65</v>
      </c>
      <c r="D283" s="45" t="s">
        <v>139</v>
      </c>
      <c r="E283" s="55"/>
      <c r="F283" s="59"/>
      <c r="G283" s="55"/>
      <c r="H283" s="55"/>
      <c r="I283" s="55"/>
      <c r="J283" s="55"/>
      <c r="K283" s="55"/>
      <c r="L283" s="55"/>
      <c r="M283" s="55"/>
      <c r="N283" s="59"/>
      <c r="O283" s="55"/>
      <c r="P283" s="55"/>
      <c r="Q283" s="55"/>
      <c r="R283" s="55"/>
      <c r="S283" s="55"/>
      <c r="T283" s="55"/>
      <c r="U283" s="55">
        <v>200</v>
      </c>
      <c r="V283" s="55"/>
      <c r="W283" s="55"/>
      <c r="X283" s="55"/>
      <c r="Y283" s="55">
        <f t="shared" si="40"/>
        <v>0</v>
      </c>
      <c r="Z283">
        <f t="shared" si="41"/>
        <v>0</v>
      </c>
      <c r="AA283">
        <f t="shared" si="42"/>
        <v>0</v>
      </c>
      <c r="AB283">
        <f t="shared" si="43"/>
        <v>0</v>
      </c>
      <c r="AC283">
        <f t="shared" si="44"/>
        <v>0</v>
      </c>
      <c r="AD283">
        <f t="shared" si="45"/>
        <v>0</v>
      </c>
      <c r="AE283">
        <f t="shared" si="46"/>
        <v>0</v>
      </c>
      <c r="AF283">
        <f t="shared" si="47"/>
        <v>0</v>
      </c>
      <c r="AG283">
        <f t="shared" si="48"/>
        <v>200</v>
      </c>
      <c r="AH283">
        <f t="shared" si="49"/>
        <v>0</v>
      </c>
    </row>
    <row r="284" spans="1:34" ht="15.5" x14ac:dyDescent="0.35">
      <c r="A284" s="45" t="s">
        <v>25</v>
      </c>
      <c r="B284" s="45">
        <v>2016</v>
      </c>
      <c r="C284" s="45" t="s">
        <v>43</v>
      </c>
      <c r="D284" s="45" t="s">
        <v>69</v>
      </c>
      <c r="E284" s="55"/>
      <c r="F284" s="55"/>
      <c r="G284" s="55"/>
      <c r="H284" s="55"/>
      <c r="I284" s="55"/>
      <c r="J284" s="55"/>
      <c r="K284" s="55"/>
      <c r="L284" s="55"/>
      <c r="M284" s="55"/>
      <c r="N284" s="59"/>
      <c r="O284" s="55">
        <v>500</v>
      </c>
      <c r="P284" s="55"/>
      <c r="Q284" s="55"/>
      <c r="R284" s="55"/>
      <c r="S284" s="55"/>
      <c r="T284" s="55"/>
      <c r="U284" s="55"/>
      <c r="V284" s="55">
        <v>60</v>
      </c>
      <c r="W284" s="55"/>
      <c r="X284" s="55"/>
      <c r="Y284" s="55">
        <f t="shared" si="40"/>
        <v>0</v>
      </c>
      <c r="Z284">
        <f t="shared" si="41"/>
        <v>0</v>
      </c>
      <c r="AA284">
        <f t="shared" si="42"/>
        <v>0</v>
      </c>
      <c r="AB284">
        <f t="shared" si="43"/>
        <v>0</v>
      </c>
      <c r="AC284">
        <f t="shared" si="44"/>
        <v>0</v>
      </c>
      <c r="AD284">
        <f t="shared" si="45"/>
        <v>500</v>
      </c>
      <c r="AE284">
        <f t="shared" si="46"/>
        <v>0</v>
      </c>
      <c r="AF284">
        <f t="shared" si="47"/>
        <v>0</v>
      </c>
      <c r="AG284">
        <f t="shared" si="48"/>
        <v>60</v>
      </c>
      <c r="AH284">
        <f t="shared" si="49"/>
        <v>0</v>
      </c>
    </row>
    <row r="285" spans="1:34" x14ac:dyDescent="0.35">
      <c r="A285" s="45" t="s">
        <v>25</v>
      </c>
      <c r="B285" s="45">
        <v>2016</v>
      </c>
      <c r="C285" s="45" t="s">
        <v>43</v>
      </c>
      <c r="D285" s="45" t="s">
        <v>140</v>
      </c>
      <c r="E285" s="55"/>
      <c r="F285" s="55"/>
      <c r="G285" s="55"/>
      <c r="H285" s="55"/>
      <c r="I285" s="55">
        <v>500</v>
      </c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55">
        <f t="shared" si="40"/>
        <v>0</v>
      </c>
      <c r="Z285">
        <f t="shared" si="41"/>
        <v>0</v>
      </c>
      <c r="AA285">
        <f t="shared" si="42"/>
        <v>500</v>
      </c>
      <c r="AB285">
        <f t="shared" si="43"/>
        <v>0</v>
      </c>
      <c r="AC285">
        <f t="shared" si="44"/>
        <v>0</v>
      </c>
      <c r="AD285">
        <f t="shared" si="45"/>
        <v>0</v>
      </c>
      <c r="AE285">
        <f t="shared" si="46"/>
        <v>0</v>
      </c>
      <c r="AF285">
        <f t="shared" si="47"/>
        <v>0</v>
      </c>
      <c r="AG285">
        <f t="shared" si="48"/>
        <v>0</v>
      </c>
      <c r="AH285">
        <f t="shared" si="49"/>
        <v>0</v>
      </c>
    </row>
    <row r="286" spans="1:34" ht="15.5" x14ac:dyDescent="0.35">
      <c r="A286" s="45" t="s">
        <v>25</v>
      </c>
      <c r="B286" s="45">
        <v>2016</v>
      </c>
      <c r="C286" s="45" t="s">
        <v>65</v>
      </c>
      <c r="D286" s="45" t="s">
        <v>141</v>
      </c>
      <c r="E286" s="55"/>
      <c r="F286" s="55">
        <v>110</v>
      </c>
      <c r="G286" s="55"/>
      <c r="H286" s="55"/>
      <c r="I286" s="55">
        <v>300</v>
      </c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6">
        <v>24981.781999999999</v>
      </c>
      <c r="U286" s="55"/>
      <c r="V286" s="55"/>
      <c r="W286" s="55"/>
      <c r="X286" s="55"/>
      <c r="Y286" s="55">
        <f t="shared" si="40"/>
        <v>110</v>
      </c>
      <c r="Z286">
        <f t="shared" si="41"/>
        <v>0</v>
      </c>
      <c r="AA286">
        <f t="shared" si="42"/>
        <v>300</v>
      </c>
      <c r="AB286">
        <f t="shared" si="43"/>
        <v>0</v>
      </c>
      <c r="AC286">
        <f t="shared" si="44"/>
        <v>0</v>
      </c>
      <c r="AD286">
        <f t="shared" si="45"/>
        <v>0</v>
      </c>
      <c r="AE286">
        <f t="shared" si="46"/>
        <v>0</v>
      </c>
      <c r="AF286">
        <f t="shared" si="47"/>
        <v>24981.781999999999</v>
      </c>
      <c r="AG286">
        <f t="shared" si="48"/>
        <v>0</v>
      </c>
      <c r="AH286">
        <f t="shared" si="49"/>
        <v>0</v>
      </c>
    </row>
    <row r="287" spans="1:34" x14ac:dyDescent="0.35">
      <c r="A287" s="45" t="s">
        <v>25</v>
      </c>
      <c r="B287" s="45">
        <v>2016</v>
      </c>
      <c r="C287" s="45" t="s">
        <v>65</v>
      </c>
      <c r="D287" s="45" t="s">
        <v>69</v>
      </c>
      <c r="E287" s="55"/>
      <c r="F287" s="55"/>
      <c r="G287" s="55"/>
      <c r="H287" s="55"/>
      <c r="I287" s="55"/>
      <c r="J287" s="55"/>
      <c r="K287" s="55">
        <v>2000</v>
      </c>
      <c r="L287" s="55">
        <v>1500</v>
      </c>
      <c r="M287" s="55"/>
      <c r="N287" s="55">
        <v>300</v>
      </c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>
        <f t="shared" si="40"/>
        <v>0</v>
      </c>
      <c r="Z287">
        <f t="shared" si="41"/>
        <v>0</v>
      </c>
      <c r="AA287">
        <f t="shared" si="42"/>
        <v>0</v>
      </c>
      <c r="AB287">
        <f t="shared" si="43"/>
        <v>3500</v>
      </c>
      <c r="AC287">
        <f t="shared" si="44"/>
        <v>300</v>
      </c>
      <c r="AD287">
        <f t="shared" si="45"/>
        <v>0</v>
      </c>
      <c r="AE287">
        <f t="shared" si="46"/>
        <v>0</v>
      </c>
      <c r="AF287">
        <f t="shared" si="47"/>
        <v>0</v>
      </c>
      <c r="AG287">
        <f t="shared" si="48"/>
        <v>0</v>
      </c>
      <c r="AH287">
        <f t="shared" si="49"/>
        <v>0</v>
      </c>
    </row>
    <row r="288" spans="1:34" ht="15.5" x14ac:dyDescent="0.35">
      <c r="A288" s="45" t="s">
        <v>25</v>
      </c>
      <c r="B288" s="45">
        <v>2016</v>
      </c>
      <c r="C288" s="45" t="s">
        <v>43</v>
      </c>
      <c r="D288" s="45" t="s">
        <v>142</v>
      </c>
      <c r="E288" s="55"/>
      <c r="F288" s="55"/>
      <c r="G288" s="55"/>
      <c r="H288" s="55"/>
      <c r="I288" s="55"/>
      <c r="J288" s="55"/>
      <c r="K288" s="55"/>
      <c r="L288" s="55"/>
      <c r="M288" s="55"/>
      <c r="N288" s="56">
        <v>3000</v>
      </c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55">
        <f t="shared" si="40"/>
        <v>0</v>
      </c>
      <c r="Z288">
        <f t="shared" si="41"/>
        <v>0</v>
      </c>
      <c r="AA288">
        <f t="shared" si="42"/>
        <v>0</v>
      </c>
      <c r="AB288">
        <f t="shared" si="43"/>
        <v>0</v>
      </c>
      <c r="AC288">
        <f t="shared" si="44"/>
        <v>3000</v>
      </c>
      <c r="AD288">
        <f t="shared" si="45"/>
        <v>0</v>
      </c>
      <c r="AE288">
        <f t="shared" si="46"/>
        <v>0</v>
      </c>
      <c r="AF288">
        <f t="shared" si="47"/>
        <v>0</v>
      </c>
      <c r="AG288">
        <f t="shared" si="48"/>
        <v>0</v>
      </c>
      <c r="AH288">
        <f t="shared" si="49"/>
        <v>0</v>
      </c>
    </row>
    <row r="289" spans="1:34" x14ac:dyDescent="0.35">
      <c r="A289" s="45" t="s">
        <v>25</v>
      </c>
      <c r="B289" s="45">
        <v>2022</v>
      </c>
      <c r="C289" s="45" t="s">
        <v>43</v>
      </c>
      <c r="D289" s="45" t="s">
        <v>44</v>
      </c>
      <c r="E289" s="55"/>
      <c r="F289" s="55"/>
      <c r="G289" s="55"/>
      <c r="H289" s="55"/>
      <c r="I289" s="55"/>
      <c r="J289" s="55"/>
      <c r="K289" s="55"/>
      <c r="L289" s="55"/>
      <c r="M289" s="55"/>
      <c r="N289" s="55">
        <v>2000</v>
      </c>
      <c r="O289" s="55">
        <v>1500</v>
      </c>
      <c r="P289" s="55"/>
      <c r="Q289" s="55">
        <v>300</v>
      </c>
      <c r="R289" s="55"/>
      <c r="S289" s="55">
        <v>500</v>
      </c>
      <c r="T289" s="55"/>
      <c r="U289" s="55"/>
      <c r="V289" s="55"/>
      <c r="W289" s="55"/>
      <c r="X289" s="55"/>
      <c r="Y289" s="55">
        <f t="shared" si="40"/>
        <v>0</v>
      </c>
      <c r="Z289">
        <f t="shared" si="41"/>
        <v>0</v>
      </c>
      <c r="AA289">
        <f t="shared" si="42"/>
        <v>0</v>
      </c>
      <c r="AB289">
        <f t="shared" si="43"/>
        <v>0</v>
      </c>
      <c r="AC289">
        <f t="shared" si="44"/>
        <v>2000</v>
      </c>
      <c r="AD289">
        <f t="shared" si="45"/>
        <v>1500</v>
      </c>
      <c r="AE289">
        <f t="shared" si="46"/>
        <v>300</v>
      </c>
      <c r="AF289">
        <f t="shared" si="47"/>
        <v>500</v>
      </c>
      <c r="AG289">
        <f t="shared" si="48"/>
        <v>0</v>
      </c>
      <c r="AH289">
        <f t="shared" si="49"/>
        <v>0</v>
      </c>
    </row>
    <row r="290" spans="1:34" ht="15.5" x14ac:dyDescent="0.35">
      <c r="A290" s="45" t="s">
        <v>25</v>
      </c>
      <c r="B290" s="45">
        <v>2022</v>
      </c>
      <c r="C290" s="45" t="s">
        <v>65</v>
      </c>
      <c r="D290" s="45" t="s">
        <v>45</v>
      </c>
      <c r="E290" s="55">
        <v>300</v>
      </c>
      <c r="F290" s="55"/>
      <c r="G290" s="55">
        <v>500</v>
      </c>
      <c r="H290" s="55"/>
      <c r="I290" s="55"/>
      <c r="J290" s="55"/>
      <c r="K290" s="55"/>
      <c r="L290" s="55"/>
      <c r="M290" s="55">
        <v>1500</v>
      </c>
      <c r="N290" s="55"/>
      <c r="O290" s="55"/>
      <c r="P290" s="55">
        <v>2000</v>
      </c>
      <c r="Q290" s="55"/>
      <c r="R290" s="55"/>
      <c r="S290" s="55">
        <v>300</v>
      </c>
      <c r="T290" s="56"/>
      <c r="U290" s="55"/>
      <c r="V290" s="55"/>
      <c r="W290" s="55"/>
      <c r="X290" s="55">
        <v>300</v>
      </c>
      <c r="Y290" s="55">
        <f t="shared" si="40"/>
        <v>300</v>
      </c>
      <c r="Z290">
        <f t="shared" si="41"/>
        <v>500</v>
      </c>
      <c r="AA290">
        <f t="shared" si="42"/>
        <v>0</v>
      </c>
      <c r="AB290">
        <f t="shared" si="43"/>
        <v>0</v>
      </c>
      <c r="AC290">
        <f t="shared" si="44"/>
        <v>1500</v>
      </c>
      <c r="AD290">
        <f t="shared" si="45"/>
        <v>2000</v>
      </c>
      <c r="AE290">
        <f t="shared" si="46"/>
        <v>0</v>
      </c>
      <c r="AF290">
        <f t="shared" si="47"/>
        <v>300</v>
      </c>
      <c r="AG290">
        <f t="shared" si="48"/>
        <v>0</v>
      </c>
      <c r="AH290">
        <f t="shared" si="49"/>
        <v>300</v>
      </c>
    </row>
    <row r="291" spans="1:34" ht="15.5" x14ac:dyDescent="0.35">
      <c r="A291" s="45" t="s">
        <v>25</v>
      </c>
      <c r="B291" s="45">
        <v>2022</v>
      </c>
      <c r="C291" s="45" t="s">
        <v>65</v>
      </c>
      <c r="D291" s="45" t="s">
        <v>44</v>
      </c>
      <c r="E291" s="55"/>
      <c r="F291" s="55"/>
      <c r="G291" s="55">
        <v>300</v>
      </c>
      <c r="H291" s="56"/>
      <c r="I291" s="55"/>
      <c r="J291" s="55"/>
      <c r="K291" s="55"/>
      <c r="L291" s="55">
        <v>300</v>
      </c>
      <c r="M291" s="55"/>
      <c r="N291" s="55"/>
      <c r="O291" s="55"/>
      <c r="P291" s="55"/>
      <c r="Q291" s="55"/>
      <c r="R291" s="55"/>
      <c r="S291" s="55"/>
      <c r="T291" s="55"/>
      <c r="U291" s="55"/>
      <c r="V291" s="55"/>
      <c r="W291" s="55">
        <v>2500</v>
      </c>
      <c r="X291" s="55"/>
      <c r="Y291" s="55">
        <f t="shared" si="40"/>
        <v>0</v>
      </c>
      <c r="Z291">
        <f t="shared" si="41"/>
        <v>300</v>
      </c>
      <c r="AA291">
        <f t="shared" si="42"/>
        <v>0</v>
      </c>
      <c r="AB291">
        <f t="shared" si="43"/>
        <v>300</v>
      </c>
      <c r="AC291">
        <f t="shared" si="44"/>
        <v>0</v>
      </c>
      <c r="AD291">
        <f t="shared" si="45"/>
        <v>0</v>
      </c>
      <c r="AE291">
        <f t="shared" si="46"/>
        <v>0</v>
      </c>
      <c r="AF291">
        <f t="shared" si="47"/>
        <v>0</v>
      </c>
      <c r="AG291">
        <f t="shared" si="48"/>
        <v>0</v>
      </c>
      <c r="AH291">
        <f t="shared" si="49"/>
        <v>2500</v>
      </c>
    </row>
    <row r="292" spans="1:34" ht="15.5" x14ac:dyDescent="0.35">
      <c r="A292" s="45" t="s">
        <v>25</v>
      </c>
      <c r="B292" s="45">
        <v>2022</v>
      </c>
      <c r="C292" s="45" t="s">
        <v>43</v>
      </c>
      <c r="D292" s="45" t="s">
        <v>45</v>
      </c>
      <c r="E292" s="55"/>
      <c r="F292" s="55"/>
      <c r="G292" s="55"/>
      <c r="H292" s="55"/>
      <c r="I292" s="55"/>
      <c r="J292" s="55"/>
      <c r="K292" s="55">
        <v>2500</v>
      </c>
      <c r="L292" s="55"/>
      <c r="M292" s="55"/>
      <c r="N292" s="55"/>
      <c r="O292" s="55"/>
      <c r="P292" s="55"/>
      <c r="Q292" s="55"/>
      <c r="R292" s="55">
        <v>1000</v>
      </c>
      <c r="S292" s="55">
        <v>12000</v>
      </c>
      <c r="T292" s="58"/>
      <c r="U292" s="55"/>
      <c r="V292" s="55">
        <v>500</v>
      </c>
      <c r="W292" s="55"/>
      <c r="X292" s="55"/>
      <c r="Y292" s="55">
        <f t="shared" si="40"/>
        <v>0</v>
      </c>
      <c r="Z292">
        <f t="shared" si="41"/>
        <v>0</v>
      </c>
      <c r="AA292">
        <f t="shared" si="42"/>
        <v>0</v>
      </c>
      <c r="AB292">
        <f t="shared" si="43"/>
        <v>2500</v>
      </c>
      <c r="AC292">
        <f t="shared" si="44"/>
        <v>0</v>
      </c>
      <c r="AD292">
        <f t="shared" si="45"/>
        <v>0</v>
      </c>
      <c r="AE292">
        <f t="shared" si="46"/>
        <v>1000</v>
      </c>
      <c r="AF292">
        <f t="shared" si="47"/>
        <v>12000</v>
      </c>
      <c r="AG292">
        <f t="shared" si="48"/>
        <v>500</v>
      </c>
      <c r="AH292">
        <f t="shared" si="49"/>
        <v>0</v>
      </c>
    </row>
    <row r="293" spans="1:34" ht="15.5" x14ac:dyDescent="0.35">
      <c r="A293" s="45" t="s">
        <v>25</v>
      </c>
      <c r="B293" s="45">
        <v>2022</v>
      </c>
      <c r="C293" s="45" t="s">
        <v>43</v>
      </c>
      <c r="D293" s="45" t="s">
        <v>44</v>
      </c>
      <c r="E293" s="55"/>
      <c r="F293" s="55">
        <v>1000</v>
      </c>
      <c r="G293" s="55">
        <v>12000</v>
      </c>
      <c r="H293" s="58"/>
      <c r="I293" s="55"/>
      <c r="J293" s="55">
        <v>500</v>
      </c>
      <c r="K293" s="55"/>
      <c r="L293" s="55"/>
      <c r="M293" s="55"/>
      <c r="N293" s="55"/>
      <c r="O293" s="55"/>
      <c r="P293" s="55"/>
      <c r="Q293" s="55">
        <v>700</v>
      </c>
      <c r="R293" s="55"/>
      <c r="S293" s="55"/>
      <c r="T293" s="55">
        <v>200</v>
      </c>
      <c r="U293" s="55">
        <v>1000</v>
      </c>
      <c r="V293" s="55"/>
      <c r="W293" s="55"/>
      <c r="X293" s="55"/>
      <c r="Y293" s="55">
        <f t="shared" si="40"/>
        <v>1000</v>
      </c>
      <c r="Z293">
        <f t="shared" si="41"/>
        <v>12000</v>
      </c>
      <c r="AA293">
        <f t="shared" si="42"/>
        <v>500</v>
      </c>
      <c r="AB293">
        <f t="shared" si="43"/>
        <v>0</v>
      </c>
      <c r="AC293">
        <f t="shared" si="44"/>
        <v>0</v>
      </c>
      <c r="AD293">
        <f t="shared" si="45"/>
        <v>0</v>
      </c>
      <c r="AE293">
        <f t="shared" si="46"/>
        <v>700</v>
      </c>
      <c r="AF293">
        <f t="shared" si="47"/>
        <v>200</v>
      </c>
      <c r="AG293">
        <f t="shared" si="48"/>
        <v>1000</v>
      </c>
      <c r="AH293">
        <f t="shared" si="49"/>
        <v>0</v>
      </c>
    </row>
    <row r="294" spans="1:34" ht="15.5" x14ac:dyDescent="0.35">
      <c r="A294" s="45" t="s">
        <v>25</v>
      </c>
      <c r="B294" s="45">
        <v>2022</v>
      </c>
      <c r="C294" s="45" t="s">
        <v>65</v>
      </c>
      <c r="D294" s="45" t="s">
        <v>45</v>
      </c>
      <c r="E294" s="55">
        <v>700</v>
      </c>
      <c r="F294" s="55"/>
      <c r="G294" s="55"/>
      <c r="H294" s="55">
        <v>200</v>
      </c>
      <c r="I294" s="55">
        <v>1000</v>
      </c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9"/>
      <c r="U294" s="55"/>
      <c r="V294" s="55"/>
      <c r="W294" s="55"/>
      <c r="X294" s="55"/>
      <c r="Y294" s="55">
        <f t="shared" si="40"/>
        <v>700</v>
      </c>
      <c r="Z294">
        <f t="shared" si="41"/>
        <v>200</v>
      </c>
      <c r="AA294">
        <f t="shared" si="42"/>
        <v>1000</v>
      </c>
      <c r="AB294">
        <f t="shared" si="43"/>
        <v>0</v>
      </c>
      <c r="AC294">
        <f t="shared" si="44"/>
        <v>0</v>
      </c>
      <c r="AD294">
        <f t="shared" si="45"/>
        <v>0</v>
      </c>
      <c r="AE294">
        <f t="shared" si="46"/>
        <v>0</v>
      </c>
      <c r="AF294">
        <f t="shared" si="47"/>
        <v>0</v>
      </c>
      <c r="AG294">
        <f t="shared" si="48"/>
        <v>0</v>
      </c>
      <c r="AH294">
        <f t="shared" si="49"/>
        <v>0</v>
      </c>
    </row>
    <row r="295" spans="1:34" ht="15.5" x14ac:dyDescent="0.35">
      <c r="A295" s="45" t="s">
        <v>26</v>
      </c>
      <c r="B295" s="45">
        <v>2016</v>
      </c>
      <c r="C295" s="45" t="s">
        <v>65</v>
      </c>
      <c r="D295" s="45" t="s">
        <v>46</v>
      </c>
      <c r="E295" s="55"/>
      <c r="F295" s="55"/>
      <c r="G295" s="55"/>
      <c r="H295" s="59"/>
      <c r="I295" s="55"/>
      <c r="J295" s="55"/>
      <c r="K295" s="55"/>
      <c r="L295" s="55"/>
      <c r="M295" s="55"/>
      <c r="N295" s="56">
        <v>34575</v>
      </c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>
        <f t="shared" si="40"/>
        <v>0</v>
      </c>
      <c r="Z295">
        <f t="shared" si="41"/>
        <v>0</v>
      </c>
      <c r="AA295">
        <f t="shared" si="42"/>
        <v>0</v>
      </c>
      <c r="AB295">
        <f t="shared" si="43"/>
        <v>0</v>
      </c>
      <c r="AC295">
        <f t="shared" si="44"/>
        <v>34575</v>
      </c>
      <c r="AD295">
        <f t="shared" si="45"/>
        <v>0</v>
      </c>
      <c r="AE295">
        <f t="shared" si="46"/>
        <v>0</v>
      </c>
      <c r="AF295">
        <f t="shared" si="47"/>
        <v>0</v>
      </c>
      <c r="AG295">
        <f t="shared" si="48"/>
        <v>0</v>
      </c>
      <c r="AH295">
        <f t="shared" si="49"/>
        <v>0</v>
      </c>
    </row>
    <row r="296" spans="1:34" ht="15.5" x14ac:dyDescent="0.35">
      <c r="A296" s="45" t="s">
        <v>26</v>
      </c>
      <c r="B296" s="45">
        <v>2016</v>
      </c>
      <c r="C296" s="45" t="s">
        <v>43</v>
      </c>
      <c r="D296" s="45" t="s">
        <v>46</v>
      </c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60"/>
      <c r="U296" s="55"/>
      <c r="V296" s="55"/>
      <c r="W296" s="55"/>
      <c r="X296" s="55"/>
      <c r="Y296" s="55">
        <f t="shared" si="40"/>
        <v>0</v>
      </c>
      <c r="Z296">
        <f t="shared" si="41"/>
        <v>0</v>
      </c>
      <c r="AA296">
        <f t="shared" si="42"/>
        <v>0</v>
      </c>
      <c r="AB296">
        <f t="shared" si="43"/>
        <v>0</v>
      </c>
      <c r="AC296">
        <f t="shared" si="44"/>
        <v>0</v>
      </c>
      <c r="AD296">
        <f t="shared" si="45"/>
        <v>0</v>
      </c>
      <c r="AE296">
        <f t="shared" si="46"/>
        <v>0</v>
      </c>
      <c r="AF296">
        <f t="shared" si="47"/>
        <v>0</v>
      </c>
      <c r="AG296">
        <f t="shared" si="48"/>
        <v>0</v>
      </c>
      <c r="AH296">
        <f t="shared" si="49"/>
        <v>0</v>
      </c>
    </row>
    <row r="297" spans="1:34" ht="15.5" x14ac:dyDescent="0.35">
      <c r="A297" s="45" t="s">
        <v>26</v>
      </c>
      <c r="B297" s="45">
        <v>2916</v>
      </c>
      <c r="C297" s="45" t="s">
        <v>43</v>
      </c>
      <c r="D297" s="45" t="s">
        <v>139</v>
      </c>
      <c r="E297" s="55">
        <v>1500</v>
      </c>
      <c r="F297" s="55"/>
      <c r="G297" s="55">
        <v>300</v>
      </c>
      <c r="H297" s="55"/>
      <c r="I297" s="55"/>
      <c r="J297" s="56"/>
      <c r="K297" s="55"/>
      <c r="L297" s="55"/>
      <c r="M297" s="55"/>
      <c r="N297" s="55"/>
      <c r="O297" s="55"/>
      <c r="P297" s="55"/>
      <c r="Q297" s="55">
        <v>300</v>
      </c>
      <c r="R297" s="55"/>
      <c r="S297" s="55"/>
      <c r="T297" s="55"/>
      <c r="U297" s="55"/>
      <c r="V297" s="55"/>
      <c r="W297" s="55"/>
      <c r="X297" s="55"/>
      <c r="Y297" s="55">
        <f t="shared" si="40"/>
        <v>1500</v>
      </c>
      <c r="Z297">
        <f t="shared" si="41"/>
        <v>300</v>
      </c>
      <c r="AA297">
        <f t="shared" si="42"/>
        <v>0</v>
      </c>
      <c r="AB297">
        <f t="shared" si="43"/>
        <v>0</v>
      </c>
      <c r="AC297">
        <f t="shared" si="44"/>
        <v>0</v>
      </c>
      <c r="AD297">
        <f t="shared" si="45"/>
        <v>0</v>
      </c>
      <c r="AE297">
        <f t="shared" si="46"/>
        <v>300</v>
      </c>
      <c r="AF297">
        <f t="shared" si="47"/>
        <v>0</v>
      </c>
      <c r="AG297">
        <f t="shared" si="48"/>
        <v>0</v>
      </c>
      <c r="AH297">
        <f t="shared" si="49"/>
        <v>0</v>
      </c>
    </row>
    <row r="298" spans="1:34" x14ac:dyDescent="0.35">
      <c r="A298" s="45" t="s">
        <v>26</v>
      </c>
      <c r="B298" s="45">
        <v>2016</v>
      </c>
      <c r="C298" s="45" t="s">
        <v>65</v>
      </c>
      <c r="D298" s="45" t="s">
        <v>139</v>
      </c>
      <c r="E298" s="55"/>
      <c r="F298" s="55">
        <v>2000</v>
      </c>
      <c r="G298" s="55"/>
      <c r="H298" s="55"/>
      <c r="I298" s="55"/>
      <c r="J298" s="55"/>
      <c r="K298" s="55"/>
      <c r="L298" s="55"/>
      <c r="M298" s="55"/>
      <c r="N298" s="55">
        <v>300</v>
      </c>
      <c r="O298" s="55"/>
      <c r="P298" s="55"/>
      <c r="Q298" s="55"/>
      <c r="R298" s="55"/>
      <c r="S298" s="55">
        <v>2000</v>
      </c>
      <c r="T298" s="55">
        <v>1500</v>
      </c>
      <c r="U298" s="55"/>
      <c r="V298" s="55">
        <v>300</v>
      </c>
      <c r="W298" s="55"/>
      <c r="X298" s="55"/>
      <c r="Y298" s="55">
        <f t="shared" si="40"/>
        <v>2000</v>
      </c>
      <c r="Z298">
        <f t="shared" si="41"/>
        <v>0</v>
      </c>
      <c r="AA298">
        <f t="shared" si="42"/>
        <v>0</v>
      </c>
      <c r="AB298">
        <f t="shared" si="43"/>
        <v>0</v>
      </c>
      <c r="AC298">
        <f t="shared" si="44"/>
        <v>300</v>
      </c>
      <c r="AD298">
        <f t="shared" si="45"/>
        <v>0</v>
      </c>
      <c r="AE298">
        <f t="shared" si="46"/>
        <v>0</v>
      </c>
      <c r="AF298">
        <f t="shared" si="47"/>
        <v>3500</v>
      </c>
      <c r="AG298">
        <f t="shared" si="48"/>
        <v>300</v>
      </c>
      <c r="AH298">
        <f t="shared" si="49"/>
        <v>0</v>
      </c>
    </row>
    <row r="299" spans="1:34" ht="15.5" x14ac:dyDescent="0.35">
      <c r="A299" s="45" t="s">
        <v>26</v>
      </c>
      <c r="B299" s="45">
        <v>2017</v>
      </c>
      <c r="C299" s="45" t="s">
        <v>65</v>
      </c>
      <c r="D299" s="45" t="s">
        <v>69</v>
      </c>
      <c r="E299" s="55"/>
      <c r="F299" s="55"/>
      <c r="G299" s="55"/>
      <c r="H299" s="55"/>
      <c r="I299" s="55"/>
      <c r="J299" s="57"/>
      <c r="K299" s="55"/>
      <c r="L299" s="55"/>
      <c r="M299" s="55">
        <v>2500</v>
      </c>
      <c r="N299" s="55"/>
      <c r="O299" s="55"/>
      <c r="P299" s="55"/>
      <c r="Q299" s="55"/>
      <c r="R299" s="55"/>
      <c r="S299" s="55"/>
      <c r="T299" s="55"/>
      <c r="U299" s="55"/>
      <c r="V299" s="56">
        <v>3000</v>
      </c>
      <c r="W299" s="55"/>
      <c r="X299" s="55"/>
      <c r="Y299" s="55">
        <f t="shared" si="40"/>
        <v>0</v>
      </c>
      <c r="Z299">
        <f t="shared" si="41"/>
        <v>0</v>
      </c>
      <c r="AA299">
        <f t="shared" si="42"/>
        <v>0</v>
      </c>
      <c r="AB299">
        <f t="shared" si="43"/>
        <v>0</v>
      </c>
      <c r="AC299">
        <f t="shared" si="44"/>
        <v>2500</v>
      </c>
      <c r="AD299">
        <f t="shared" si="45"/>
        <v>0</v>
      </c>
      <c r="AE299">
        <f t="shared" si="46"/>
        <v>0</v>
      </c>
      <c r="AF299">
        <f t="shared" si="47"/>
        <v>0</v>
      </c>
      <c r="AG299">
        <f t="shared" si="48"/>
        <v>3000</v>
      </c>
      <c r="AH299">
        <f t="shared" si="49"/>
        <v>0</v>
      </c>
    </row>
    <row r="300" spans="1:34" x14ac:dyDescent="0.35">
      <c r="A300" s="45" t="s">
        <v>26</v>
      </c>
      <c r="B300" s="45">
        <v>2017</v>
      </c>
      <c r="C300" s="45" t="s">
        <v>43</v>
      </c>
      <c r="D300" s="45" t="s">
        <v>140</v>
      </c>
      <c r="E300" s="55"/>
      <c r="F300" s="55"/>
      <c r="G300" s="55"/>
      <c r="H300" s="55">
        <v>1000</v>
      </c>
      <c r="I300" s="55">
        <v>10000</v>
      </c>
      <c r="J300" s="55"/>
      <c r="K300" s="55"/>
      <c r="L300" s="55">
        <v>500</v>
      </c>
      <c r="M300" s="55"/>
      <c r="N300" s="55"/>
      <c r="O300" s="55">
        <v>12000</v>
      </c>
      <c r="P300" s="55"/>
      <c r="Q300" s="55"/>
      <c r="R300" s="55"/>
      <c r="S300" s="55"/>
      <c r="T300" s="55"/>
      <c r="U300" s="55"/>
      <c r="V300" s="55">
        <v>2000</v>
      </c>
      <c r="W300" s="55"/>
      <c r="X300" s="55"/>
      <c r="Y300" s="55">
        <f t="shared" si="40"/>
        <v>0</v>
      </c>
      <c r="Z300">
        <f t="shared" si="41"/>
        <v>1000</v>
      </c>
      <c r="AA300">
        <f t="shared" si="42"/>
        <v>10000</v>
      </c>
      <c r="AB300">
        <f t="shared" si="43"/>
        <v>500</v>
      </c>
      <c r="AC300">
        <f t="shared" si="44"/>
        <v>0</v>
      </c>
      <c r="AD300">
        <f t="shared" si="45"/>
        <v>12000</v>
      </c>
      <c r="AE300">
        <f t="shared" si="46"/>
        <v>0</v>
      </c>
      <c r="AF300">
        <f t="shared" si="47"/>
        <v>0</v>
      </c>
      <c r="AG300">
        <f t="shared" si="48"/>
        <v>2000</v>
      </c>
      <c r="AH300">
        <f t="shared" si="49"/>
        <v>0</v>
      </c>
    </row>
    <row r="301" spans="1:34" ht="15.5" x14ac:dyDescent="0.35">
      <c r="A301" s="45" t="s">
        <v>26</v>
      </c>
      <c r="B301" s="45">
        <v>2017</v>
      </c>
      <c r="C301" s="45" t="s">
        <v>43</v>
      </c>
      <c r="D301" s="45" t="s">
        <v>141</v>
      </c>
      <c r="E301" s="55"/>
      <c r="F301" s="55"/>
      <c r="G301" s="55">
        <v>700</v>
      </c>
      <c r="H301" s="55"/>
      <c r="I301" s="55"/>
      <c r="J301" s="59"/>
      <c r="K301" s="55">
        <v>1000</v>
      </c>
      <c r="L301" s="55"/>
      <c r="M301" s="55"/>
      <c r="N301" s="55"/>
      <c r="O301" s="55"/>
      <c r="P301" s="55"/>
      <c r="Q301" s="55"/>
      <c r="R301" s="55"/>
      <c r="S301" s="55"/>
      <c r="T301" s="55"/>
      <c r="U301" s="55">
        <v>1500</v>
      </c>
      <c r="V301" s="55"/>
      <c r="W301" s="55"/>
      <c r="X301" s="55"/>
      <c r="Y301" s="55">
        <f t="shared" si="40"/>
        <v>0</v>
      </c>
      <c r="Z301">
        <f t="shared" si="41"/>
        <v>700</v>
      </c>
      <c r="AA301">
        <f t="shared" si="42"/>
        <v>0</v>
      </c>
      <c r="AB301">
        <f t="shared" si="43"/>
        <v>1000</v>
      </c>
      <c r="AC301">
        <f t="shared" si="44"/>
        <v>0</v>
      </c>
      <c r="AD301">
        <f t="shared" si="45"/>
        <v>0</v>
      </c>
      <c r="AE301">
        <f t="shared" si="46"/>
        <v>0</v>
      </c>
      <c r="AF301">
        <f t="shared" si="47"/>
        <v>0</v>
      </c>
      <c r="AG301">
        <f t="shared" si="48"/>
        <v>1500</v>
      </c>
      <c r="AH301">
        <f t="shared" si="49"/>
        <v>0</v>
      </c>
    </row>
    <row r="302" spans="1:34" ht="15.5" x14ac:dyDescent="0.35">
      <c r="A302" s="45" t="s">
        <v>26</v>
      </c>
      <c r="B302" s="45">
        <v>2018</v>
      </c>
      <c r="C302" s="45" t="s">
        <v>65</v>
      </c>
      <c r="D302" s="45" t="s">
        <v>69</v>
      </c>
      <c r="E302" s="55"/>
      <c r="F302" s="55"/>
      <c r="G302" s="55"/>
      <c r="H302" s="55"/>
      <c r="I302" s="55"/>
      <c r="J302" s="55">
        <v>50</v>
      </c>
      <c r="K302" s="55"/>
      <c r="L302" s="55"/>
      <c r="M302" s="55"/>
      <c r="N302" s="55"/>
      <c r="O302" s="55"/>
      <c r="P302" s="56"/>
      <c r="Q302" s="55"/>
      <c r="R302" s="55"/>
      <c r="S302" s="55"/>
      <c r="T302" s="55">
        <v>300</v>
      </c>
      <c r="U302" s="55"/>
      <c r="V302" s="55"/>
      <c r="W302" s="55"/>
      <c r="X302" s="55">
        <v>2500</v>
      </c>
      <c r="Y302" s="55">
        <f t="shared" si="40"/>
        <v>0</v>
      </c>
      <c r="Z302">
        <f t="shared" si="41"/>
        <v>0</v>
      </c>
      <c r="AA302">
        <f t="shared" si="42"/>
        <v>50</v>
      </c>
      <c r="AB302">
        <f t="shared" si="43"/>
        <v>0</v>
      </c>
      <c r="AC302">
        <f t="shared" si="44"/>
        <v>0</v>
      </c>
      <c r="AD302">
        <f t="shared" si="45"/>
        <v>0</v>
      </c>
      <c r="AE302">
        <f t="shared" si="46"/>
        <v>0</v>
      </c>
      <c r="AF302">
        <f t="shared" si="47"/>
        <v>300</v>
      </c>
      <c r="AG302">
        <f t="shared" si="48"/>
        <v>0</v>
      </c>
      <c r="AH302">
        <f t="shared" si="49"/>
        <v>2500</v>
      </c>
    </row>
    <row r="303" spans="1:34" ht="15.5" x14ac:dyDescent="0.35">
      <c r="A303" s="45" t="s">
        <v>26</v>
      </c>
      <c r="B303" s="45">
        <v>2018</v>
      </c>
      <c r="C303" s="45" t="s">
        <v>65</v>
      </c>
      <c r="D303" s="45" t="s">
        <v>142</v>
      </c>
      <c r="E303" s="55"/>
      <c r="F303" s="55"/>
      <c r="G303" s="55"/>
      <c r="H303" s="55"/>
      <c r="I303" s="55"/>
      <c r="J303" s="55"/>
      <c r="K303" s="56"/>
      <c r="L303" s="55"/>
      <c r="M303" s="55"/>
      <c r="N303" s="55"/>
      <c r="O303" s="55"/>
      <c r="P303" s="55"/>
      <c r="Q303" s="55"/>
      <c r="R303" s="55"/>
      <c r="S303" s="55">
        <v>2500</v>
      </c>
      <c r="T303" s="55"/>
      <c r="U303" s="55"/>
      <c r="V303" s="55"/>
      <c r="W303" s="55">
        <v>500</v>
      </c>
      <c r="X303" s="55"/>
      <c r="Y303" s="55">
        <f t="shared" si="40"/>
        <v>0</v>
      </c>
      <c r="Z303">
        <f t="shared" si="41"/>
        <v>0</v>
      </c>
      <c r="AA303">
        <f t="shared" si="42"/>
        <v>0</v>
      </c>
      <c r="AB303">
        <f t="shared" si="43"/>
        <v>0</v>
      </c>
      <c r="AC303">
        <f t="shared" si="44"/>
        <v>0</v>
      </c>
      <c r="AD303">
        <f t="shared" si="45"/>
        <v>0</v>
      </c>
      <c r="AE303">
        <f t="shared" si="46"/>
        <v>0</v>
      </c>
      <c r="AF303">
        <f t="shared" si="47"/>
        <v>2500</v>
      </c>
      <c r="AG303">
        <f t="shared" si="48"/>
        <v>0</v>
      </c>
      <c r="AH303">
        <f t="shared" si="49"/>
        <v>500</v>
      </c>
    </row>
    <row r="304" spans="1:34" ht="15.5" x14ac:dyDescent="0.35">
      <c r="A304" s="45" t="s">
        <v>26</v>
      </c>
      <c r="B304" s="45">
        <v>2018</v>
      </c>
      <c r="C304" s="45" t="s">
        <v>43</v>
      </c>
      <c r="D304" s="45" t="s">
        <v>44</v>
      </c>
      <c r="E304" s="55"/>
      <c r="F304" s="55"/>
      <c r="G304" s="55"/>
      <c r="H304" s="60"/>
      <c r="I304" s="55"/>
      <c r="J304" s="55"/>
      <c r="K304" s="55"/>
      <c r="L304" s="55"/>
      <c r="M304" s="55"/>
      <c r="N304" s="55"/>
      <c r="O304" s="55">
        <v>300</v>
      </c>
      <c r="P304" s="58"/>
      <c r="Q304" s="55"/>
      <c r="R304" s="55">
        <v>500</v>
      </c>
      <c r="S304" s="55"/>
      <c r="T304" s="55"/>
      <c r="U304" s="55"/>
      <c r="V304" s="55"/>
      <c r="W304" s="55"/>
      <c r="X304" s="55"/>
      <c r="Y304" s="55">
        <f t="shared" si="40"/>
        <v>0</v>
      </c>
      <c r="Z304">
        <f t="shared" si="41"/>
        <v>0</v>
      </c>
      <c r="AA304">
        <f t="shared" si="42"/>
        <v>0</v>
      </c>
      <c r="AB304">
        <f t="shared" si="43"/>
        <v>0</v>
      </c>
      <c r="AC304">
        <f t="shared" si="44"/>
        <v>0</v>
      </c>
      <c r="AD304">
        <f t="shared" si="45"/>
        <v>300</v>
      </c>
      <c r="AE304">
        <f t="shared" si="46"/>
        <v>500</v>
      </c>
      <c r="AF304">
        <f t="shared" si="47"/>
        <v>0</v>
      </c>
      <c r="AG304">
        <f t="shared" si="48"/>
        <v>0</v>
      </c>
      <c r="AH304">
        <f t="shared" si="49"/>
        <v>0</v>
      </c>
    </row>
    <row r="305" spans="1:34" ht="15.5" x14ac:dyDescent="0.35">
      <c r="A305" s="45" t="s">
        <v>26</v>
      </c>
      <c r="B305" s="45">
        <v>2018</v>
      </c>
      <c r="C305" s="45" t="s">
        <v>43</v>
      </c>
      <c r="D305" s="45" t="s">
        <v>45</v>
      </c>
      <c r="E305" s="55"/>
      <c r="F305" s="55"/>
      <c r="G305" s="55"/>
      <c r="H305" s="55"/>
      <c r="I305" s="55"/>
      <c r="J305" s="55"/>
      <c r="K305" s="57"/>
      <c r="L305" s="55"/>
      <c r="M305" s="55"/>
      <c r="N305" s="55">
        <v>2500</v>
      </c>
      <c r="O305" s="55"/>
      <c r="P305" s="55">
        <v>200</v>
      </c>
      <c r="Q305" s="55">
        <v>1000</v>
      </c>
      <c r="R305" s="55"/>
      <c r="S305" s="55"/>
      <c r="T305" s="55"/>
      <c r="U305" s="55"/>
      <c r="V305" s="55"/>
      <c r="W305" s="55"/>
      <c r="X305" s="55"/>
      <c r="Y305" s="55">
        <f t="shared" si="40"/>
        <v>0</v>
      </c>
      <c r="Z305">
        <f t="shared" si="41"/>
        <v>0</v>
      </c>
      <c r="AA305">
        <f t="shared" si="42"/>
        <v>0</v>
      </c>
      <c r="AB305">
        <f t="shared" si="43"/>
        <v>0</v>
      </c>
      <c r="AC305">
        <f t="shared" si="44"/>
        <v>2500</v>
      </c>
      <c r="AD305">
        <f t="shared" si="45"/>
        <v>200</v>
      </c>
      <c r="AE305">
        <f t="shared" si="46"/>
        <v>1000</v>
      </c>
      <c r="AF305">
        <f t="shared" si="47"/>
        <v>0</v>
      </c>
      <c r="AG305">
        <f t="shared" si="48"/>
        <v>0</v>
      </c>
      <c r="AH305">
        <f t="shared" si="49"/>
        <v>0</v>
      </c>
    </row>
    <row r="306" spans="1:34" x14ac:dyDescent="0.35">
      <c r="A306" s="45" t="s">
        <v>26</v>
      </c>
      <c r="B306" s="45">
        <v>2018</v>
      </c>
      <c r="C306" s="45" t="s">
        <v>65</v>
      </c>
      <c r="D306" s="45" t="s">
        <v>44</v>
      </c>
      <c r="E306" s="55"/>
      <c r="F306" s="55"/>
      <c r="G306" s="55"/>
      <c r="H306" s="55"/>
      <c r="I306" s="55"/>
      <c r="J306" s="55">
        <v>10000</v>
      </c>
      <c r="K306" s="55"/>
      <c r="L306" s="55"/>
      <c r="M306" s="55">
        <v>500</v>
      </c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55">
        <f t="shared" si="40"/>
        <v>0</v>
      </c>
      <c r="Z306">
        <f t="shared" si="41"/>
        <v>0</v>
      </c>
      <c r="AA306">
        <f t="shared" si="42"/>
        <v>10000</v>
      </c>
      <c r="AB306">
        <f t="shared" si="43"/>
        <v>0</v>
      </c>
      <c r="AC306">
        <f t="shared" si="44"/>
        <v>500</v>
      </c>
      <c r="AD306">
        <f t="shared" si="45"/>
        <v>0</v>
      </c>
      <c r="AE306">
        <f t="shared" si="46"/>
        <v>0</v>
      </c>
      <c r="AF306">
        <f t="shared" si="47"/>
        <v>0</v>
      </c>
      <c r="AG306">
        <f t="shared" si="48"/>
        <v>0</v>
      </c>
      <c r="AH306">
        <f t="shared" si="49"/>
        <v>0</v>
      </c>
    </row>
    <row r="307" spans="1:34" ht="15.5" x14ac:dyDescent="0.35">
      <c r="A307" s="45" t="s">
        <v>26</v>
      </c>
      <c r="B307" s="45">
        <v>2019</v>
      </c>
      <c r="C307" s="45" t="s">
        <v>65</v>
      </c>
      <c r="D307" s="45" t="s">
        <v>45</v>
      </c>
      <c r="E307" s="55"/>
      <c r="F307" s="55"/>
      <c r="G307" s="55">
        <v>2500</v>
      </c>
      <c r="H307" s="55"/>
      <c r="I307" s="55"/>
      <c r="J307" s="55"/>
      <c r="K307" s="59"/>
      <c r="L307" s="55">
        <v>1000</v>
      </c>
      <c r="M307" s="55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>
        <f t="shared" si="40"/>
        <v>0</v>
      </c>
      <c r="Z307">
        <f t="shared" si="41"/>
        <v>2500</v>
      </c>
      <c r="AA307">
        <f t="shared" si="42"/>
        <v>0</v>
      </c>
      <c r="AB307">
        <f t="shared" si="43"/>
        <v>1000</v>
      </c>
      <c r="AC307">
        <f t="shared" si="44"/>
        <v>0</v>
      </c>
      <c r="AD307">
        <f t="shared" si="45"/>
        <v>0</v>
      </c>
      <c r="AE307">
        <f t="shared" si="46"/>
        <v>0</v>
      </c>
      <c r="AF307">
        <f t="shared" si="47"/>
        <v>0</v>
      </c>
      <c r="AG307">
        <f t="shared" si="48"/>
        <v>0</v>
      </c>
      <c r="AH307">
        <f t="shared" si="49"/>
        <v>0</v>
      </c>
    </row>
    <row r="308" spans="1:34" ht="15.5" x14ac:dyDescent="0.35">
      <c r="A308" s="45" t="s">
        <v>26</v>
      </c>
      <c r="B308" s="45">
        <v>2019</v>
      </c>
      <c r="C308" s="45" t="s">
        <v>43</v>
      </c>
      <c r="D308" s="45" t="s">
        <v>44</v>
      </c>
      <c r="E308" s="55"/>
      <c r="F308" s="55">
        <v>500</v>
      </c>
      <c r="G308" s="55"/>
      <c r="H308" s="55"/>
      <c r="I308" s="55"/>
      <c r="J308" s="55"/>
      <c r="K308" s="55">
        <v>50</v>
      </c>
      <c r="L308" s="55"/>
      <c r="M308" s="55"/>
      <c r="N308" s="55"/>
      <c r="O308" s="55"/>
      <c r="P308" s="55"/>
      <c r="Q308" s="55"/>
      <c r="R308" s="55"/>
      <c r="S308" s="55"/>
      <c r="T308" s="56"/>
      <c r="U308" s="55"/>
      <c r="V308" s="55"/>
      <c r="W308" s="55"/>
      <c r="X308" s="55"/>
      <c r="Y308" s="55">
        <f t="shared" si="40"/>
        <v>500</v>
      </c>
      <c r="Z308">
        <f t="shared" si="41"/>
        <v>0</v>
      </c>
      <c r="AA308">
        <f t="shared" si="42"/>
        <v>0</v>
      </c>
      <c r="AB308">
        <f t="shared" si="43"/>
        <v>50</v>
      </c>
      <c r="AC308">
        <f t="shared" si="44"/>
        <v>0</v>
      </c>
      <c r="AD308">
        <f t="shared" si="45"/>
        <v>0</v>
      </c>
      <c r="AE308">
        <f t="shared" si="46"/>
        <v>0</v>
      </c>
      <c r="AF308">
        <f t="shared" si="47"/>
        <v>0</v>
      </c>
      <c r="AG308">
        <f t="shared" si="48"/>
        <v>0</v>
      </c>
      <c r="AH308">
        <f t="shared" si="49"/>
        <v>0</v>
      </c>
    </row>
    <row r="309" spans="1:34" x14ac:dyDescent="0.35">
      <c r="A309" s="45" t="s">
        <v>26</v>
      </c>
      <c r="B309" s="45">
        <v>2019</v>
      </c>
      <c r="C309" s="45" t="s">
        <v>43</v>
      </c>
      <c r="D309" s="45" t="s">
        <v>45</v>
      </c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>
        <v>150</v>
      </c>
      <c r="U309" s="55"/>
      <c r="V309" s="55"/>
      <c r="W309" s="55"/>
      <c r="X309" s="55"/>
      <c r="Y309" s="55">
        <f t="shared" si="40"/>
        <v>0</v>
      </c>
      <c r="Z309">
        <f t="shared" si="41"/>
        <v>0</v>
      </c>
      <c r="AA309">
        <f t="shared" si="42"/>
        <v>0</v>
      </c>
      <c r="AB309">
        <f t="shared" si="43"/>
        <v>0</v>
      </c>
      <c r="AC309">
        <f t="shared" si="44"/>
        <v>0</v>
      </c>
      <c r="AD309">
        <f t="shared" si="45"/>
        <v>0</v>
      </c>
      <c r="AE309">
        <f t="shared" si="46"/>
        <v>0</v>
      </c>
      <c r="AF309">
        <f t="shared" si="47"/>
        <v>150</v>
      </c>
      <c r="AG309">
        <f t="shared" si="48"/>
        <v>0</v>
      </c>
      <c r="AH309">
        <f t="shared" si="49"/>
        <v>0</v>
      </c>
    </row>
    <row r="310" spans="1:34" ht="15.5" x14ac:dyDescent="0.35">
      <c r="A310" s="45" t="s">
        <v>26</v>
      </c>
      <c r="B310" s="45">
        <v>2019</v>
      </c>
      <c r="C310" s="45" t="s">
        <v>65</v>
      </c>
      <c r="D310" s="45" t="s">
        <v>46</v>
      </c>
      <c r="E310" s="55"/>
      <c r="F310" s="55"/>
      <c r="G310" s="55"/>
      <c r="H310" s="55"/>
      <c r="I310" s="55"/>
      <c r="J310" s="55"/>
      <c r="K310" s="59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55">
        <v>340</v>
      </c>
      <c r="W310" s="55"/>
      <c r="X310" s="55"/>
      <c r="Y310" s="55">
        <f t="shared" si="40"/>
        <v>0</v>
      </c>
      <c r="Z310">
        <f t="shared" si="41"/>
        <v>0</v>
      </c>
      <c r="AA310">
        <f t="shared" si="42"/>
        <v>0</v>
      </c>
      <c r="AB310">
        <f t="shared" si="43"/>
        <v>0</v>
      </c>
      <c r="AC310">
        <f t="shared" si="44"/>
        <v>0</v>
      </c>
      <c r="AD310">
        <f t="shared" si="45"/>
        <v>0</v>
      </c>
      <c r="AE310">
        <f t="shared" si="46"/>
        <v>0</v>
      </c>
      <c r="AF310">
        <f t="shared" si="47"/>
        <v>0</v>
      </c>
      <c r="AG310">
        <f t="shared" si="48"/>
        <v>340</v>
      </c>
      <c r="AH310">
        <f t="shared" si="49"/>
        <v>0</v>
      </c>
    </row>
    <row r="311" spans="1:34" ht="15.5" x14ac:dyDescent="0.35">
      <c r="A311" s="45" t="s">
        <v>26</v>
      </c>
      <c r="B311" s="45">
        <v>2019</v>
      </c>
      <c r="C311" s="45" t="s">
        <v>65</v>
      </c>
      <c r="D311" s="45" t="s">
        <v>46</v>
      </c>
      <c r="E311" s="55"/>
      <c r="F311" s="55">
        <v>500</v>
      </c>
      <c r="G311" s="55"/>
      <c r="H311" s="55"/>
      <c r="I311" s="55"/>
      <c r="J311" s="55"/>
      <c r="K311" s="55"/>
      <c r="L311" s="55"/>
      <c r="M311" s="55"/>
      <c r="N311" s="55"/>
      <c r="O311" s="55">
        <v>300</v>
      </c>
      <c r="P311" s="55"/>
      <c r="Q311" s="55"/>
      <c r="R311" s="56"/>
      <c r="S311" s="55"/>
      <c r="T311" s="55"/>
      <c r="U311" s="55"/>
      <c r="V311" s="55"/>
      <c r="W311" s="55"/>
      <c r="X311" s="55"/>
      <c r="Y311" s="55">
        <f t="shared" si="40"/>
        <v>500</v>
      </c>
      <c r="Z311">
        <f t="shared" si="41"/>
        <v>0</v>
      </c>
      <c r="AA311">
        <f t="shared" si="42"/>
        <v>0</v>
      </c>
      <c r="AB311">
        <f t="shared" si="43"/>
        <v>0</v>
      </c>
      <c r="AC311">
        <f t="shared" si="44"/>
        <v>0</v>
      </c>
      <c r="AD311">
        <f t="shared" si="45"/>
        <v>300</v>
      </c>
      <c r="AE311">
        <f t="shared" si="46"/>
        <v>0</v>
      </c>
      <c r="AF311">
        <f t="shared" si="47"/>
        <v>0</v>
      </c>
      <c r="AG311">
        <f t="shared" si="48"/>
        <v>0</v>
      </c>
      <c r="AH311">
        <f t="shared" si="49"/>
        <v>0</v>
      </c>
    </row>
    <row r="312" spans="1:34" ht="15.5" x14ac:dyDescent="0.35">
      <c r="A312" s="45" t="s">
        <v>26</v>
      </c>
      <c r="B312" s="45">
        <v>2019</v>
      </c>
      <c r="C312" s="45" t="s">
        <v>43</v>
      </c>
      <c r="D312" s="45" t="s">
        <v>139</v>
      </c>
      <c r="E312" s="55"/>
      <c r="F312" s="55"/>
      <c r="G312" s="55"/>
      <c r="H312" s="55"/>
      <c r="I312" s="55"/>
      <c r="J312" s="59"/>
      <c r="K312" s="55"/>
      <c r="L312" s="55">
        <v>300</v>
      </c>
      <c r="M312" s="55"/>
      <c r="N312" s="55">
        <v>2000</v>
      </c>
      <c r="O312" s="55"/>
      <c r="P312" s="55"/>
      <c r="Q312" s="55"/>
      <c r="R312" s="55"/>
      <c r="S312" s="55"/>
      <c r="T312" s="55"/>
      <c r="U312" s="55"/>
      <c r="V312" s="55">
        <v>300</v>
      </c>
      <c r="W312" s="55"/>
      <c r="X312" s="55"/>
      <c r="Y312" s="55">
        <f t="shared" si="40"/>
        <v>0</v>
      </c>
      <c r="Z312">
        <f t="shared" si="41"/>
        <v>0</v>
      </c>
      <c r="AA312">
        <f t="shared" si="42"/>
        <v>0</v>
      </c>
      <c r="AB312">
        <f t="shared" si="43"/>
        <v>300</v>
      </c>
      <c r="AC312">
        <f t="shared" si="44"/>
        <v>2000</v>
      </c>
      <c r="AD312">
        <f t="shared" si="45"/>
        <v>0</v>
      </c>
      <c r="AE312">
        <f t="shared" si="46"/>
        <v>0</v>
      </c>
      <c r="AF312">
        <f t="shared" si="47"/>
        <v>0</v>
      </c>
      <c r="AG312">
        <f t="shared" si="48"/>
        <v>300</v>
      </c>
      <c r="AH312">
        <f t="shared" si="49"/>
        <v>0</v>
      </c>
    </row>
    <row r="313" spans="1:34" ht="15.5" x14ac:dyDescent="0.35">
      <c r="A313" s="45" t="s">
        <v>26</v>
      </c>
      <c r="B313" s="45">
        <v>2019</v>
      </c>
      <c r="C313" s="45" t="s">
        <v>43</v>
      </c>
      <c r="D313" s="45" t="s">
        <v>139</v>
      </c>
      <c r="E313" s="55">
        <v>500</v>
      </c>
      <c r="F313" s="55"/>
      <c r="G313" s="55"/>
      <c r="H313" s="55"/>
      <c r="I313" s="55"/>
      <c r="J313" s="55"/>
      <c r="K313" s="55">
        <v>2500</v>
      </c>
      <c r="L313" s="55"/>
      <c r="M313" s="55"/>
      <c r="N313" s="55"/>
      <c r="O313" s="55"/>
      <c r="P313" s="55"/>
      <c r="Q313" s="55"/>
      <c r="R313" s="57"/>
      <c r="S313" s="55"/>
      <c r="T313" s="55"/>
      <c r="U313" s="55">
        <v>2500</v>
      </c>
      <c r="V313" s="55"/>
      <c r="W313" s="55"/>
      <c r="X313" s="55"/>
      <c r="Y313" s="55">
        <f t="shared" si="40"/>
        <v>500</v>
      </c>
      <c r="Z313">
        <f t="shared" si="41"/>
        <v>0</v>
      </c>
      <c r="AA313">
        <f t="shared" si="42"/>
        <v>0</v>
      </c>
      <c r="AB313">
        <f t="shared" si="43"/>
        <v>2500</v>
      </c>
      <c r="AC313">
        <f t="shared" si="44"/>
        <v>0</v>
      </c>
      <c r="AD313">
        <f t="shared" si="45"/>
        <v>0</v>
      </c>
      <c r="AE313">
        <f t="shared" si="46"/>
        <v>0</v>
      </c>
      <c r="AF313">
        <f t="shared" si="47"/>
        <v>0</v>
      </c>
      <c r="AG313">
        <f t="shared" si="48"/>
        <v>2500</v>
      </c>
      <c r="AH313">
        <f t="shared" si="49"/>
        <v>0</v>
      </c>
    </row>
    <row r="314" spans="1:34" x14ac:dyDescent="0.35">
      <c r="A314" s="45" t="s">
        <v>26</v>
      </c>
      <c r="B314" s="45">
        <v>2019</v>
      </c>
      <c r="C314" s="45" t="s">
        <v>65</v>
      </c>
      <c r="D314" s="45" t="s">
        <v>69</v>
      </c>
      <c r="E314" s="55">
        <v>300</v>
      </c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>
        <v>1000</v>
      </c>
      <c r="Q314" s="55">
        <v>10000</v>
      </c>
      <c r="R314" s="55"/>
      <c r="S314" s="55"/>
      <c r="T314" s="55">
        <v>500</v>
      </c>
      <c r="U314" s="55"/>
      <c r="V314" s="55"/>
      <c r="W314" s="55"/>
      <c r="X314" s="55">
        <v>12000</v>
      </c>
      <c r="Y314" s="55">
        <f t="shared" si="40"/>
        <v>300</v>
      </c>
      <c r="Z314">
        <f t="shared" si="41"/>
        <v>0</v>
      </c>
      <c r="AA314">
        <f t="shared" si="42"/>
        <v>0</v>
      </c>
      <c r="AB314">
        <f t="shared" si="43"/>
        <v>0</v>
      </c>
      <c r="AC314">
        <f t="shared" si="44"/>
        <v>0</v>
      </c>
      <c r="AD314">
        <f t="shared" si="45"/>
        <v>1000</v>
      </c>
      <c r="AE314">
        <f t="shared" si="46"/>
        <v>10000</v>
      </c>
      <c r="AF314">
        <f t="shared" si="47"/>
        <v>500</v>
      </c>
      <c r="AG314">
        <f t="shared" si="48"/>
        <v>0</v>
      </c>
      <c r="AH314">
        <f t="shared" si="49"/>
        <v>12000</v>
      </c>
    </row>
    <row r="315" spans="1:34" ht="15.5" x14ac:dyDescent="0.35">
      <c r="A315" s="45" t="s">
        <v>26</v>
      </c>
      <c r="B315" s="45">
        <v>2020</v>
      </c>
      <c r="C315" s="45" t="s">
        <v>65</v>
      </c>
      <c r="D315" s="45" t="s">
        <v>140</v>
      </c>
      <c r="E315" s="55"/>
      <c r="F315" s="55"/>
      <c r="G315" s="55">
        <v>2000</v>
      </c>
      <c r="H315" s="55">
        <v>1500</v>
      </c>
      <c r="I315" s="55"/>
      <c r="J315" s="55">
        <v>300</v>
      </c>
      <c r="K315" s="55"/>
      <c r="L315" s="55"/>
      <c r="M315" s="55"/>
      <c r="N315" s="55"/>
      <c r="O315" s="55">
        <v>700</v>
      </c>
      <c r="P315" s="55"/>
      <c r="Q315" s="55"/>
      <c r="R315" s="59"/>
      <c r="S315" s="55">
        <v>1000</v>
      </c>
      <c r="T315" s="55"/>
      <c r="U315" s="55"/>
      <c r="V315" s="55"/>
      <c r="W315" s="55"/>
      <c r="X315" s="55"/>
      <c r="Y315" s="55">
        <f t="shared" si="40"/>
        <v>0</v>
      </c>
      <c r="Z315">
        <f t="shared" si="41"/>
        <v>3500</v>
      </c>
      <c r="AA315">
        <f t="shared" si="42"/>
        <v>300</v>
      </c>
      <c r="AB315">
        <f t="shared" si="43"/>
        <v>0</v>
      </c>
      <c r="AC315">
        <f t="shared" si="44"/>
        <v>0</v>
      </c>
      <c r="AD315">
        <f t="shared" si="45"/>
        <v>700</v>
      </c>
      <c r="AE315">
        <f t="shared" si="46"/>
        <v>0</v>
      </c>
      <c r="AF315">
        <f t="shared" si="47"/>
        <v>1000</v>
      </c>
      <c r="AG315">
        <f t="shared" si="48"/>
        <v>0</v>
      </c>
      <c r="AH315">
        <f t="shared" si="49"/>
        <v>0</v>
      </c>
    </row>
    <row r="316" spans="1:34" ht="15.5" x14ac:dyDescent="0.35">
      <c r="A316" s="45" t="s">
        <v>26</v>
      </c>
      <c r="B316" s="45">
        <v>2020</v>
      </c>
      <c r="C316" s="45" t="s">
        <v>43</v>
      </c>
      <c r="D316" s="45" t="s">
        <v>141</v>
      </c>
      <c r="E316" s="55"/>
      <c r="F316" s="55"/>
      <c r="G316" s="55"/>
      <c r="H316" s="55"/>
      <c r="I316" s="55"/>
      <c r="J316" s="56">
        <v>3000</v>
      </c>
      <c r="K316" s="55"/>
      <c r="L316" s="55"/>
      <c r="M316" s="55">
        <v>1000</v>
      </c>
      <c r="N316" s="55"/>
      <c r="O316" s="55"/>
      <c r="P316" s="55"/>
      <c r="Q316" s="55"/>
      <c r="R316" s="55">
        <v>50</v>
      </c>
      <c r="S316" s="55"/>
      <c r="T316" s="55"/>
      <c r="U316" s="55"/>
      <c r="V316" s="55"/>
      <c r="W316" s="55"/>
      <c r="X316" s="55"/>
      <c r="Y316" s="55">
        <f t="shared" si="40"/>
        <v>0</v>
      </c>
      <c r="Z316">
        <f t="shared" si="41"/>
        <v>0</v>
      </c>
      <c r="AA316">
        <f t="shared" si="42"/>
        <v>3000</v>
      </c>
      <c r="AB316">
        <f t="shared" si="43"/>
        <v>0</v>
      </c>
      <c r="AC316">
        <f t="shared" si="44"/>
        <v>1000</v>
      </c>
      <c r="AD316">
        <f t="shared" si="45"/>
        <v>0</v>
      </c>
      <c r="AE316">
        <f t="shared" si="46"/>
        <v>50</v>
      </c>
      <c r="AF316">
        <f t="shared" si="47"/>
        <v>0</v>
      </c>
      <c r="AG316">
        <f t="shared" si="48"/>
        <v>0</v>
      </c>
      <c r="AH316">
        <f t="shared" si="49"/>
        <v>0</v>
      </c>
    </row>
    <row r="317" spans="1:34" ht="15.5" x14ac:dyDescent="0.35">
      <c r="A317" s="45" t="s">
        <v>26</v>
      </c>
      <c r="B317" s="45">
        <v>2020</v>
      </c>
      <c r="C317" s="45" t="s">
        <v>43</v>
      </c>
      <c r="D317" s="45" t="s">
        <v>69</v>
      </c>
      <c r="E317" s="55"/>
      <c r="F317" s="55"/>
      <c r="G317" s="55"/>
      <c r="H317" s="55"/>
      <c r="I317" s="55"/>
      <c r="J317" s="55">
        <v>2000</v>
      </c>
      <c r="K317" s="55"/>
      <c r="L317" s="55"/>
      <c r="M317" s="55"/>
      <c r="N317" s="55"/>
      <c r="O317" s="55"/>
      <c r="P317" s="55"/>
      <c r="Q317" s="55"/>
      <c r="R317" s="55"/>
      <c r="S317" s="56"/>
      <c r="T317" s="55"/>
      <c r="U317" s="55"/>
      <c r="V317" s="55"/>
      <c r="W317" s="55"/>
      <c r="X317" s="55"/>
      <c r="Y317" s="55">
        <f t="shared" si="40"/>
        <v>0</v>
      </c>
      <c r="Z317">
        <f t="shared" si="41"/>
        <v>0</v>
      </c>
      <c r="AA317">
        <f t="shared" si="42"/>
        <v>2000</v>
      </c>
      <c r="AB317">
        <f t="shared" si="43"/>
        <v>0</v>
      </c>
      <c r="AC317">
        <f t="shared" si="44"/>
        <v>0</v>
      </c>
      <c r="AD317">
        <f t="shared" si="45"/>
        <v>0</v>
      </c>
      <c r="AE317">
        <f t="shared" si="46"/>
        <v>0</v>
      </c>
      <c r="AF317">
        <f t="shared" si="47"/>
        <v>0</v>
      </c>
      <c r="AG317">
        <f t="shared" si="48"/>
        <v>0</v>
      </c>
      <c r="AH317">
        <f t="shared" si="49"/>
        <v>0</v>
      </c>
    </row>
    <row r="318" spans="1:34" ht="15.5" x14ac:dyDescent="0.35">
      <c r="A318" s="45" t="s">
        <v>26</v>
      </c>
      <c r="B318" s="45">
        <v>2020</v>
      </c>
      <c r="C318" s="45" t="s">
        <v>65</v>
      </c>
      <c r="D318" s="45" t="s">
        <v>142</v>
      </c>
      <c r="E318" s="55"/>
      <c r="F318" s="55"/>
      <c r="G318" s="55"/>
      <c r="H318" s="55"/>
      <c r="I318" s="55">
        <v>1500</v>
      </c>
      <c r="J318" s="55"/>
      <c r="K318" s="55"/>
      <c r="L318" s="55"/>
      <c r="M318" s="55"/>
      <c r="N318" s="55"/>
      <c r="O318" s="55"/>
      <c r="P318" s="60"/>
      <c r="Q318" s="55"/>
      <c r="R318" s="55"/>
      <c r="S318" s="55"/>
      <c r="T318" s="55"/>
      <c r="U318" s="55"/>
      <c r="V318" s="55"/>
      <c r="W318" s="55">
        <v>300</v>
      </c>
      <c r="X318" s="55"/>
      <c r="Y318" s="55">
        <f t="shared" si="40"/>
        <v>0</v>
      </c>
      <c r="Z318">
        <f t="shared" si="41"/>
        <v>0</v>
      </c>
      <c r="AA318">
        <f t="shared" si="42"/>
        <v>1500</v>
      </c>
      <c r="AB318">
        <f t="shared" si="43"/>
        <v>0</v>
      </c>
      <c r="AC318">
        <f t="shared" si="44"/>
        <v>0</v>
      </c>
      <c r="AD318">
        <f t="shared" si="45"/>
        <v>0</v>
      </c>
      <c r="AE318">
        <f t="shared" si="46"/>
        <v>0</v>
      </c>
      <c r="AF318">
        <f t="shared" si="47"/>
        <v>0</v>
      </c>
      <c r="AG318">
        <f t="shared" si="48"/>
        <v>0</v>
      </c>
      <c r="AH318">
        <f t="shared" si="49"/>
        <v>300</v>
      </c>
    </row>
    <row r="319" spans="1:34" ht="15.5" x14ac:dyDescent="0.35">
      <c r="A319" s="45" t="s">
        <v>26</v>
      </c>
      <c r="B319" s="45">
        <v>2020</v>
      </c>
      <c r="C319" s="45" t="s">
        <v>65</v>
      </c>
      <c r="D319" s="45" t="s">
        <v>44</v>
      </c>
      <c r="E319" s="55"/>
      <c r="F319" s="55"/>
      <c r="G319" s="55"/>
      <c r="H319" s="55">
        <v>300</v>
      </c>
      <c r="I319" s="55"/>
      <c r="J319" s="55"/>
      <c r="K319" s="55"/>
      <c r="L319" s="55">
        <v>2500</v>
      </c>
      <c r="M319" s="55"/>
      <c r="N319" s="55"/>
      <c r="O319" s="55"/>
      <c r="P319" s="55"/>
      <c r="Q319" s="55"/>
      <c r="R319" s="55"/>
      <c r="S319" s="57"/>
      <c r="T319" s="55"/>
      <c r="U319" s="55"/>
      <c r="V319" s="55">
        <v>2500</v>
      </c>
      <c r="W319" s="55"/>
      <c r="X319" s="55"/>
      <c r="Y319" s="55">
        <f t="shared" si="40"/>
        <v>0</v>
      </c>
      <c r="Z319">
        <f t="shared" si="41"/>
        <v>300</v>
      </c>
      <c r="AA319">
        <f t="shared" si="42"/>
        <v>0</v>
      </c>
      <c r="AB319">
        <f t="shared" si="43"/>
        <v>2500</v>
      </c>
      <c r="AC319">
        <f t="shared" si="44"/>
        <v>0</v>
      </c>
      <c r="AD319">
        <f t="shared" si="45"/>
        <v>0</v>
      </c>
      <c r="AE319">
        <f t="shared" si="46"/>
        <v>0</v>
      </c>
      <c r="AF319">
        <f t="shared" si="47"/>
        <v>0</v>
      </c>
      <c r="AG319">
        <f t="shared" si="48"/>
        <v>2500</v>
      </c>
      <c r="AH319">
        <f t="shared" si="49"/>
        <v>0</v>
      </c>
    </row>
    <row r="320" spans="1:34" x14ac:dyDescent="0.35">
      <c r="A320" s="45" t="s">
        <v>26</v>
      </c>
      <c r="B320" s="45">
        <v>2020</v>
      </c>
      <c r="C320" s="45" t="s">
        <v>43</v>
      </c>
      <c r="D320" s="45" t="s">
        <v>45</v>
      </c>
      <c r="E320" s="55"/>
      <c r="F320" s="55"/>
      <c r="G320" s="55">
        <v>2500</v>
      </c>
      <c r="H320" s="55"/>
      <c r="I320" s="55"/>
      <c r="J320" s="55"/>
      <c r="K320" s="55">
        <v>500</v>
      </c>
      <c r="L320" s="55"/>
      <c r="M320" s="55"/>
      <c r="N320" s="55"/>
      <c r="O320" s="55"/>
      <c r="P320" s="55"/>
      <c r="Q320" s="55"/>
      <c r="R320" s="55">
        <v>10000</v>
      </c>
      <c r="S320" s="55"/>
      <c r="T320" s="55"/>
      <c r="U320" s="55">
        <v>500</v>
      </c>
      <c r="V320" s="55"/>
      <c r="W320" s="55"/>
      <c r="X320" s="55"/>
      <c r="Y320" s="55">
        <f t="shared" si="40"/>
        <v>0</v>
      </c>
      <c r="Z320">
        <f t="shared" si="41"/>
        <v>2500</v>
      </c>
      <c r="AA320">
        <f t="shared" si="42"/>
        <v>0</v>
      </c>
      <c r="AB320">
        <f t="shared" si="43"/>
        <v>500</v>
      </c>
      <c r="AC320">
        <f t="shared" si="44"/>
        <v>0</v>
      </c>
      <c r="AD320">
        <f t="shared" si="45"/>
        <v>0</v>
      </c>
      <c r="AE320">
        <f t="shared" si="46"/>
        <v>10000</v>
      </c>
      <c r="AF320">
        <f t="shared" si="47"/>
        <v>0</v>
      </c>
      <c r="AG320">
        <f t="shared" si="48"/>
        <v>500</v>
      </c>
      <c r="AH320">
        <f t="shared" si="49"/>
        <v>0</v>
      </c>
    </row>
    <row r="321" spans="1:34" ht="15.5" x14ac:dyDescent="0.35">
      <c r="A321" s="45" t="s">
        <v>26</v>
      </c>
      <c r="B321" s="45">
        <v>2020</v>
      </c>
      <c r="C321" s="45" t="s">
        <v>43</v>
      </c>
      <c r="D321" s="45" t="s">
        <v>44</v>
      </c>
      <c r="E321" s="55"/>
      <c r="F321" s="55">
        <v>500</v>
      </c>
      <c r="G321" s="55"/>
      <c r="H321" s="55"/>
      <c r="I321" s="55"/>
      <c r="J321" s="55"/>
      <c r="K321" s="55"/>
      <c r="L321" s="55"/>
      <c r="M321" s="55"/>
      <c r="N321" s="55"/>
      <c r="O321" s="55">
        <v>2500</v>
      </c>
      <c r="P321" s="55"/>
      <c r="Q321" s="55"/>
      <c r="R321" s="55"/>
      <c r="S321" s="59"/>
      <c r="T321" s="55">
        <v>1000</v>
      </c>
      <c r="U321" s="55"/>
      <c r="V321" s="55"/>
      <c r="W321" s="55"/>
      <c r="X321" s="55"/>
      <c r="Y321" s="55">
        <f t="shared" si="40"/>
        <v>500</v>
      </c>
      <c r="Z321">
        <f t="shared" si="41"/>
        <v>0</v>
      </c>
      <c r="AA321">
        <f t="shared" si="42"/>
        <v>0</v>
      </c>
      <c r="AB321">
        <f t="shared" si="43"/>
        <v>0</v>
      </c>
      <c r="AC321">
        <f t="shared" si="44"/>
        <v>0</v>
      </c>
      <c r="AD321">
        <f t="shared" si="45"/>
        <v>2500</v>
      </c>
      <c r="AE321">
        <f t="shared" si="46"/>
        <v>0</v>
      </c>
      <c r="AF321">
        <f t="shared" si="47"/>
        <v>1000</v>
      </c>
      <c r="AG321">
        <f t="shared" si="48"/>
        <v>0</v>
      </c>
      <c r="AH321">
        <f t="shared" si="49"/>
        <v>0</v>
      </c>
    </row>
    <row r="322" spans="1:34" ht="15.5" x14ac:dyDescent="0.35">
      <c r="A322" s="45" t="s">
        <v>26</v>
      </c>
      <c r="B322" s="45">
        <v>2021</v>
      </c>
      <c r="C322" s="45" t="s">
        <v>65</v>
      </c>
      <c r="D322" s="45" t="s">
        <v>45</v>
      </c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6"/>
      <c r="U322" s="55"/>
      <c r="V322" s="55">
        <v>12000</v>
      </c>
      <c r="W322" s="55">
        <v>2500</v>
      </c>
      <c r="X322" s="55"/>
      <c r="Y322" s="55">
        <f t="shared" si="40"/>
        <v>0</v>
      </c>
      <c r="Z322">
        <f t="shared" si="41"/>
        <v>0</v>
      </c>
      <c r="AA322">
        <f t="shared" si="42"/>
        <v>0</v>
      </c>
      <c r="AB322">
        <f t="shared" si="43"/>
        <v>0</v>
      </c>
      <c r="AC322">
        <f t="shared" si="44"/>
        <v>0</v>
      </c>
      <c r="AD322">
        <f t="shared" si="45"/>
        <v>0</v>
      </c>
      <c r="AE322">
        <f t="shared" si="46"/>
        <v>0</v>
      </c>
      <c r="AF322">
        <f t="shared" si="47"/>
        <v>0</v>
      </c>
      <c r="AG322">
        <f t="shared" si="48"/>
        <v>12000</v>
      </c>
      <c r="AH322">
        <f t="shared" si="49"/>
        <v>2500</v>
      </c>
    </row>
    <row r="323" spans="1:34" x14ac:dyDescent="0.35">
      <c r="A323" s="45" t="s">
        <v>26</v>
      </c>
      <c r="B323" s="45">
        <v>2021</v>
      </c>
      <c r="C323" s="45" t="s">
        <v>65</v>
      </c>
      <c r="D323" s="45" t="s">
        <v>44</v>
      </c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>
        <f t="shared" si="40"/>
        <v>0</v>
      </c>
      <c r="Z323">
        <f t="shared" si="41"/>
        <v>0</v>
      </c>
      <c r="AA323">
        <f t="shared" si="42"/>
        <v>0</v>
      </c>
      <c r="AB323">
        <f t="shared" si="43"/>
        <v>0</v>
      </c>
      <c r="AC323">
        <f t="shared" si="44"/>
        <v>0</v>
      </c>
      <c r="AD323">
        <f t="shared" si="45"/>
        <v>0</v>
      </c>
      <c r="AE323">
        <f t="shared" si="46"/>
        <v>0</v>
      </c>
      <c r="AF323">
        <f t="shared" si="47"/>
        <v>0</v>
      </c>
      <c r="AG323">
        <f t="shared" si="48"/>
        <v>0</v>
      </c>
      <c r="AH323">
        <f t="shared" si="49"/>
        <v>0</v>
      </c>
    </row>
    <row r="324" spans="1:34" ht="15.5" x14ac:dyDescent="0.35">
      <c r="A324" s="45" t="s">
        <v>26</v>
      </c>
      <c r="B324" s="45">
        <v>2021</v>
      </c>
      <c r="C324" s="45" t="s">
        <v>43</v>
      </c>
      <c r="D324" s="45" t="s">
        <v>45</v>
      </c>
      <c r="E324" s="55"/>
      <c r="F324" s="55"/>
      <c r="G324" s="55"/>
      <c r="H324" s="55"/>
      <c r="I324" s="55"/>
      <c r="J324" s="56">
        <v>8175</v>
      </c>
      <c r="K324" s="55"/>
      <c r="L324" s="55"/>
      <c r="M324" s="55"/>
      <c r="N324" s="55"/>
      <c r="O324" s="55"/>
      <c r="P324" s="55"/>
      <c r="Q324" s="55"/>
      <c r="R324" s="55"/>
      <c r="S324" s="55"/>
      <c r="T324" s="56"/>
      <c r="U324" s="55"/>
      <c r="V324" s="55"/>
      <c r="W324" s="55"/>
      <c r="X324" s="55"/>
      <c r="Y324" s="55">
        <f t="shared" si="40"/>
        <v>0</v>
      </c>
      <c r="Z324">
        <f t="shared" si="41"/>
        <v>0</v>
      </c>
      <c r="AA324">
        <f t="shared" si="42"/>
        <v>8175</v>
      </c>
      <c r="AB324">
        <f t="shared" si="43"/>
        <v>0</v>
      </c>
      <c r="AC324">
        <f t="shared" si="44"/>
        <v>0</v>
      </c>
      <c r="AD324">
        <f t="shared" si="45"/>
        <v>0</v>
      </c>
      <c r="AE324">
        <f t="shared" si="46"/>
        <v>0</v>
      </c>
      <c r="AF324">
        <f t="shared" si="47"/>
        <v>0</v>
      </c>
      <c r="AG324">
        <f t="shared" si="48"/>
        <v>0</v>
      </c>
      <c r="AH324">
        <f t="shared" si="49"/>
        <v>0</v>
      </c>
    </row>
    <row r="325" spans="1:34" x14ac:dyDescent="0.35">
      <c r="A325" s="45" t="s">
        <v>26</v>
      </c>
      <c r="B325" s="45">
        <v>2021</v>
      </c>
      <c r="C325" s="45" t="s">
        <v>43</v>
      </c>
      <c r="D325" s="45" t="s">
        <v>46</v>
      </c>
      <c r="E325" s="55"/>
      <c r="F325" s="55"/>
      <c r="G325" s="55"/>
      <c r="H325" s="55"/>
      <c r="I325" s="55"/>
      <c r="J325" s="55"/>
      <c r="K325" s="55"/>
      <c r="L325" s="55"/>
      <c r="M325" s="55"/>
      <c r="N325" s="55"/>
      <c r="O325" s="55"/>
      <c r="P325" s="55">
        <v>2500</v>
      </c>
      <c r="Q325" s="55"/>
      <c r="R325" s="55"/>
      <c r="S325" s="55"/>
      <c r="T325" s="55"/>
      <c r="U325" s="55"/>
      <c r="V325" s="55"/>
      <c r="W325" s="55"/>
      <c r="X325" s="55"/>
      <c r="Y325" s="55">
        <f t="shared" ref="Y325:Y388" si="50">SUM(E325:F325)</f>
        <v>0</v>
      </c>
      <c r="Z325">
        <f t="shared" ref="Z325:Z388" si="51">SUM(G325:H325)</f>
        <v>0</v>
      </c>
      <c r="AA325">
        <f t="shared" ref="AA325:AA388" si="52">SUM(I325:J325)</f>
        <v>0</v>
      </c>
      <c r="AB325">
        <f t="shared" ref="AB325:AB388" si="53">SUM(K325:L325)</f>
        <v>0</v>
      </c>
      <c r="AC325">
        <f t="shared" ref="AC325:AC388" si="54">SUM(M325:N325)</f>
        <v>0</v>
      </c>
      <c r="AD325">
        <f t="shared" ref="AD325:AD388" si="55">SUM(O325:P325)</f>
        <v>2500</v>
      </c>
      <c r="AE325">
        <f t="shared" ref="AE325:AE388" si="56">SUM(Q325:R325)</f>
        <v>0</v>
      </c>
      <c r="AF325">
        <f t="shared" ref="AF325:AF388" si="57">SUM(S325:T325)</f>
        <v>0</v>
      </c>
      <c r="AG325">
        <f t="shared" ref="AG325:AG388" si="58">SUM(U325:V325)</f>
        <v>0</v>
      </c>
      <c r="AH325">
        <f t="shared" ref="AH325:AH388" si="59">SUM(W325:X325)</f>
        <v>0</v>
      </c>
    </row>
    <row r="326" spans="1:34" x14ac:dyDescent="0.35">
      <c r="A326" s="45" t="s">
        <v>26</v>
      </c>
      <c r="B326" s="45">
        <v>2021</v>
      </c>
      <c r="C326" s="45" t="s">
        <v>65</v>
      </c>
      <c r="D326" s="45" t="s">
        <v>46</v>
      </c>
      <c r="E326" s="55"/>
      <c r="F326" s="55"/>
      <c r="G326" s="55"/>
      <c r="H326" s="55"/>
      <c r="I326" s="55"/>
      <c r="J326" s="55"/>
      <c r="K326" s="55"/>
      <c r="L326" s="55"/>
      <c r="M326" s="55"/>
      <c r="N326" s="55"/>
      <c r="O326" s="55"/>
      <c r="P326" s="55"/>
      <c r="Q326" s="55"/>
      <c r="R326" s="55"/>
      <c r="S326" s="55"/>
      <c r="T326" s="55"/>
      <c r="U326" s="55"/>
      <c r="V326" s="55">
        <v>300</v>
      </c>
      <c r="W326" s="55"/>
      <c r="X326" s="55"/>
      <c r="Y326" s="55">
        <f t="shared" si="50"/>
        <v>0</v>
      </c>
      <c r="Z326">
        <f t="shared" si="51"/>
        <v>0</v>
      </c>
      <c r="AA326">
        <f t="shared" si="52"/>
        <v>0</v>
      </c>
      <c r="AB326">
        <f t="shared" si="53"/>
        <v>0</v>
      </c>
      <c r="AC326">
        <f t="shared" si="54"/>
        <v>0</v>
      </c>
      <c r="AD326">
        <f t="shared" si="55"/>
        <v>0</v>
      </c>
      <c r="AE326">
        <f t="shared" si="56"/>
        <v>0</v>
      </c>
      <c r="AF326">
        <f t="shared" si="57"/>
        <v>0</v>
      </c>
      <c r="AG326">
        <f t="shared" si="58"/>
        <v>300</v>
      </c>
      <c r="AH326">
        <f t="shared" si="59"/>
        <v>0</v>
      </c>
    </row>
    <row r="327" spans="1:34" ht="15.5" x14ac:dyDescent="0.35">
      <c r="A327" s="45" t="s">
        <v>26</v>
      </c>
      <c r="B327" s="45">
        <v>2021</v>
      </c>
      <c r="C327" s="45" t="s">
        <v>65</v>
      </c>
      <c r="D327" s="45" t="s">
        <v>139</v>
      </c>
      <c r="E327" s="55"/>
      <c r="F327" s="55"/>
      <c r="G327" s="55"/>
      <c r="H327" s="55">
        <v>300</v>
      </c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6"/>
      <c r="U327" s="55"/>
      <c r="V327" s="55"/>
      <c r="W327" s="55"/>
      <c r="X327" s="55"/>
      <c r="Y327" s="55">
        <f t="shared" si="50"/>
        <v>0</v>
      </c>
      <c r="Z327">
        <f t="shared" si="51"/>
        <v>300</v>
      </c>
      <c r="AA327">
        <f t="shared" si="52"/>
        <v>0</v>
      </c>
      <c r="AB327">
        <f t="shared" si="53"/>
        <v>0</v>
      </c>
      <c r="AC327">
        <f t="shared" si="54"/>
        <v>0</v>
      </c>
      <c r="AD327">
        <f t="shared" si="55"/>
        <v>0</v>
      </c>
      <c r="AE327">
        <f t="shared" si="56"/>
        <v>0</v>
      </c>
      <c r="AF327">
        <f t="shared" si="57"/>
        <v>0</v>
      </c>
      <c r="AG327">
        <f t="shared" si="58"/>
        <v>0</v>
      </c>
      <c r="AH327">
        <f t="shared" si="59"/>
        <v>0</v>
      </c>
    </row>
    <row r="328" spans="1:34" ht="15.5" x14ac:dyDescent="0.35">
      <c r="A328" s="45" t="s">
        <v>26</v>
      </c>
      <c r="B328" s="45">
        <v>2021</v>
      </c>
      <c r="C328" s="45" t="s">
        <v>43</v>
      </c>
      <c r="D328" s="45" t="s">
        <v>139</v>
      </c>
      <c r="E328" s="55"/>
      <c r="F328" s="55"/>
      <c r="G328" s="55">
        <v>2500</v>
      </c>
      <c r="H328" s="55"/>
      <c r="I328" s="55"/>
      <c r="J328" s="55"/>
      <c r="K328" s="55"/>
      <c r="L328" s="55">
        <v>208</v>
      </c>
      <c r="M328" s="55"/>
      <c r="N328" s="55"/>
      <c r="O328" s="55"/>
      <c r="P328" s="55"/>
      <c r="Q328" s="55"/>
      <c r="R328" s="56"/>
      <c r="S328" s="55"/>
      <c r="T328" s="55"/>
      <c r="U328" s="55"/>
      <c r="V328" s="55"/>
      <c r="W328" s="55"/>
      <c r="X328" s="55"/>
      <c r="Y328" s="55">
        <f t="shared" si="50"/>
        <v>0</v>
      </c>
      <c r="Z328">
        <f t="shared" si="51"/>
        <v>2500</v>
      </c>
      <c r="AA328">
        <f t="shared" si="52"/>
        <v>0</v>
      </c>
      <c r="AB328">
        <f t="shared" si="53"/>
        <v>208</v>
      </c>
      <c r="AC328">
        <f t="shared" si="54"/>
        <v>0</v>
      </c>
      <c r="AD328">
        <f t="shared" si="55"/>
        <v>0</v>
      </c>
      <c r="AE328">
        <f t="shared" si="56"/>
        <v>0</v>
      </c>
      <c r="AF328">
        <f t="shared" si="57"/>
        <v>0</v>
      </c>
      <c r="AG328">
        <f t="shared" si="58"/>
        <v>0</v>
      </c>
      <c r="AH328">
        <f t="shared" si="59"/>
        <v>0</v>
      </c>
    </row>
    <row r="329" spans="1:34" ht="15.5" x14ac:dyDescent="0.35">
      <c r="A329" s="45" t="s">
        <v>26</v>
      </c>
      <c r="B329" s="45">
        <v>2021</v>
      </c>
      <c r="C329" s="45" t="s">
        <v>43</v>
      </c>
      <c r="D329" s="45" t="s">
        <v>69</v>
      </c>
      <c r="E329" s="55"/>
      <c r="F329" s="55">
        <v>500</v>
      </c>
      <c r="G329" s="55"/>
      <c r="H329" s="55"/>
      <c r="I329" s="55"/>
      <c r="J329" s="55"/>
      <c r="K329" s="55"/>
      <c r="L329" s="55"/>
      <c r="M329" s="55">
        <v>510</v>
      </c>
      <c r="N329" s="55"/>
      <c r="O329" s="55"/>
      <c r="P329" s="55"/>
      <c r="Q329" s="55"/>
      <c r="R329" s="56"/>
      <c r="S329" s="55"/>
      <c r="T329" s="55"/>
      <c r="U329" s="55"/>
      <c r="V329" s="55"/>
      <c r="W329" s="55"/>
      <c r="X329" s="55"/>
      <c r="Y329" s="55">
        <f t="shared" si="50"/>
        <v>500</v>
      </c>
      <c r="Z329">
        <f t="shared" si="51"/>
        <v>0</v>
      </c>
      <c r="AA329">
        <f t="shared" si="52"/>
        <v>0</v>
      </c>
      <c r="AB329">
        <f t="shared" si="53"/>
        <v>0</v>
      </c>
      <c r="AC329">
        <f t="shared" si="54"/>
        <v>510</v>
      </c>
      <c r="AD329">
        <f t="shared" si="55"/>
        <v>0</v>
      </c>
      <c r="AE329">
        <f t="shared" si="56"/>
        <v>0</v>
      </c>
      <c r="AF329">
        <f t="shared" si="57"/>
        <v>0</v>
      </c>
      <c r="AG329">
        <f t="shared" si="58"/>
        <v>0</v>
      </c>
      <c r="AH329">
        <f t="shared" si="59"/>
        <v>0</v>
      </c>
    </row>
    <row r="330" spans="1:34" ht="15.5" x14ac:dyDescent="0.35">
      <c r="A330" s="45" t="s">
        <v>26</v>
      </c>
      <c r="B330" s="45">
        <v>2021</v>
      </c>
      <c r="C330" s="45" t="s">
        <v>65</v>
      </c>
      <c r="D330" s="45" t="s">
        <v>140</v>
      </c>
      <c r="E330" s="55">
        <v>1000</v>
      </c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6"/>
      <c r="U330" s="55"/>
      <c r="V330" s="55"/>
      <c r="W330" s="55">
        <v>2000</v>
      </c>
      <c r="X330" s="55"/>
      <c r="Y330" s="55">
        <f t="shared" si="50"/>
        <v>1000</v>
      </c>
      <c r="Z330">
        <f t="shared" si="51"/>
        <v>0</v>
      </c>
      <c r="AA330">
        <f t="shared" si="52"/>
        <v>0</v>
      </c>
      <c r="AB330">
        <f t="shared" si="53"/>
        <v>0</v>
      </c>
      <c r="AC330">
        <f t="shared" si="54"/>
        <v>0</v>
      </c>
      <c r="AD330">
        <f t="shared" si="55"/>
        <v>0</v>
      </c>
      <c r="AE330">
        <f t="shared" si="56"/>
        <v>0</v>
      </c>
      <c r="AF330">
        <f t="shared" si="57"/>
        <v>0</v>
      </c>
      <c r="AG330">
        <f t="shared" si="58"/>
        <v>0</v>
      </c>
      <c r="AH330">
        <f t="shared" si="59"/>
        <v>2000</v>
      </c>
    </row>
    <row r="331" spans="1:34" ht="15.5" x14ac:dyDescent="0.35">
      <c r="A331" s="45" t="s">
        <v>26</v>
      </c>
      <c r="B331" s="45">
        <v>2021</v>
      </c>
      <c r="C331" s="45" t="s">
        <v>65</v>
      </c>
      <c r="D331" s="45" t="s">
        <v>141</v>
      </c>
      <c r="E331" s="55"/>
      <c r="F331" s="55"/>
      <c r="G331" s="55"/>
      <c r="H331" s="55"/>
      <c r="I331" s="55"/>
      <c r="J331" s="55">
        <v>500</v>
      </c>
      <c r="K331" s="55"/>
      <c r="L331" s="55"/>
      <c r="M331" s="55"/>
      <c r="N331" s="55"/>
      <c r="O331" s="55"/>
      <c r="P331" s="55"/>
      <c r="Q331" s="55"/>
      <c r="R331" s="56"/>
      <c r="S331" s="55"/>
      <c r="T331" s="55"/>
      <c r="U331" s="55"/>
      <c r="V331" s="55"/>
      <c r="W331" s="55"/>
      <c r="X331" s="55"/>
      <c r="Y331" s="55">
        <f t="shared" si="50"/>
        <v>0</v>
      </c>
      <c r="Z331">
        <f t="shared" si="51"/>
        <v>0</v>
      </c>
      <c r="AA331">
        <f t="shared" si="52"/>
        <v>500</v>
      </c>
      <c r="AB331">
        <f t="shared" si="53"/>
        <v>0</v>
      </c>
      <c r="AC331">
        <f t="shared" si="54"/>
        <v>0</v>
      </c>
      <c r="AD331">
        <f t="shared" si="55"/>
        <v>0</v>
      </c>
      <c r="AE331">
        <f t="shared" si="56"/>
        <v>0</v>
      </c>
      <c r="AF331">
        <f t="shared" si="57"/>
        <v>0</v>
      </c>
      <c r="AG331">
        <f t="shared" si="58"/>
        <v>0</v>
      </c>
      <c r="AH331">
        <f t="shared" si="59"/>
        <v>0</v>
      </c>
    </row>
    <row r="332" spans="1:34" ht="15.5" x14ac:dyDescent="0.35">
      <c r="A332" s="45" t="s">
        <v>26</v>
      </c>
      <c r="B332" s="45">
        <v>2021</v>
      </c>
      <c r="C332" s="45" t="s">
        <v>43</v>
      </c>
      <c r="D332" s="45" t="s">
        <v>69</v>
      </c>
      <c r="E332" s="55"/>
      <c r="F332" s="55"/>
      <c r="G332" s="55"/>
      <c r="H332" s="55"/>
      <c r="I332" s="55"/>
      <c r="J332" s="55"/>
      <c r="K332" s="55"/>
      <c r="L332" s="55">
        <v>300</v>
      </c>
      <c r="M332" s="55"/>
      <c r="N332" s="55"/>
      <c r="O332" s="55"/>
      <c r="P332" s="55">
        <v>2500</v>
      </c>
      <c r="Q332" s="55"/>
      <c r="R332" s="55"/>
      <c r="S332" s="55"/>
      <c r="T332" s="55"/>
      <c r="U332" s="55"/>
      <c r="V332" s="55"/>
      <c r="W332" s="57"/>
      <c r="X332" s="55"/>
      <c r="Y332" s="55">
        <f t="shared" si="50"/>
        <v>0</v>
      </c>
      <c r="Z332">
        <f t="shared" si="51"/>
        <v>0</v>
      </c>
      <c r="AA332">
        <f t="shared" si="52"/>
        <v>0</v>
      </c>
      <c r="AB332">
        <f t="shared" si="53"/>
        <v>300</v>
      </c>
      <c r="AC332">
        <f t="shared" si="54"/>
        <v>0</v>
      </c>
      <c r="AD332">
        <f t="shared" si="55"/>
        <v>2500</v>
      </c>
      <c r="AE332">
        <f t="shared" si="56"/>
        <v>0</v>
      </c>
      <c r="AF332">
        <f t="shared" si="57"/>
        <v>0</v>
      </c>
      <c r="AG332">
        <f t="shared" si="58"/>
        <v>0</v>
      </c>
      <c r="AH332">
        <f t="shared" si="59"/>
        <v>0</v>
      </c>
    </row>
    <row r="333" spans="1:34" x14ac:dyDescent="0.35">
      <c r="A333" s="45" t="s">
        <v>26</v>
      </c>
      <c r="B333" s="45">
        <v>2021</v>
      </c>
      <c r="C333" s="45" t="s">
        <v>43</v>
      </c>
      <c r="D333" s="45" t="s">
        <v>142</v>
      </c>
      <c r="E333" s="55"/>
      <c r="F333" s="55"/>
      <c r="G333" s="55"/>
      <c r="H333" s="55"/>
      <c r="I333" s="55"/>
      <c r="J333" s="55"/>
      <c r="K333" s="55">
        <v>2500</v>
      </c>
      <c r="L333" s="55"/>
      <c r="M333" s="55"/>
      <c r="N333" s="55"/>
      <c r="O333" s="55">
        <v>500</v>
      </c>
      <c r="P333" s="55"/>
      <c r="Q333" s="55"/>
      <c r="R333" s="55"/>
      <c r="S333" s="55"/>
      <c r="T333" s="55"/>
      <c r="U333" s="55"/>
      <c r="V333" s="55">
        <v>10000</v>
      </c>
      <c r="W333" s="55"/>
      <c r="X333" s="55"/>
      <c r="Y333" s="55">
        <f t="shared" si="50"/>
        <v>0</v>
      </c>
      <c r="Z333">
        <f t="shared" si="51"/>
        <v>0</v>
      </c>
      <c r="AA333">
        <f t="shared" si="52"/>
        <v>0</v>
      </c>
      <c r="AB333">
        <f t="shared" si="53"/>
        <v>2500</v>
      </c>
      <c r="AC333">
        <f t="shared" si="54"/>
        <v>0</v>
      </c>
      <c r="AD333">
        <f t="shared" si="55"/>
        <v>500</v>
      </c>
      <c r="AE333">
        <f t="shared" si="56"/>
        <v>0</v>
      </c>
      <c r="AF333">
        <f t="shared" si="57"/>
        <v>0</v>
      </c>
      <c r="AG333">
        <f t="shared" si="58"/>
        <v>10000</v>
      </c>
      <c r="AH333">
        <f t="shared" si="59"/>
        <v>0</v>
      </c>
    </row>
    <row r="334" spans="1:34" ht="15.5" x14ac:dyDescent="0.35">
      <c r="A334" s="45" t="s">
        <v>26</v>
      </c>
      <c r="B334" s="45">
        <v>2021</v>
      </c>
      <c r="C334" s="45" t="s">
        <v>65</v>
      </c>
      <c r="D334" s="45" t="s">
        <v>44</v>
      </c>
      <c r="E334" s="55"/>
      <c r="F334" s="55"/>
      <c r="G334" s="55"/>
      <c r="H334" s="55"/>
      <c r="I334" s="55"/>
      <c r="J334" s="55">
        <v>500</v>
      </c>
      <c r="K334" s="55"/>
      <c r="L334" s="55"/>
      <c r="M334" s="55"/>
      <c r="N334" s="55"/>
      <c r="O334" s="55"/>
      <c r="P334" s="55"/>
      <c r="Q334" s="55"/>
      <c r="R334" s="55"/>
      <c r="S334" s="55">
        <v>2500</v>
      </c>
      <c r="T334" s="55"/>
      <c r="U334" s="55"/>
      <c r="V334" s="55"/>
      <c r="W334" s="59"/>
      <c r="X334" s="55">
        <v>1000</v>
      </c>
      <c r="Y334" s="55">
        <f t="shared" si="50"/>
        <v>0</v>
      </c>
      <c r="Z334">
        <f t="shared" si="51"/>
        <v>0</v>
      </c>
      <c r="AA334">
        <f t="shared" si="52"/>
        <v>500</v>
      </c>
      <c r="AB334">
        <f t="shared" si="53"/>
        <v>0</v>
      </c>
      <c r="AC334">
        <f t="shared" si="54"/>
        <v>0</v>
      </c>
      <c r="AD334">
        <f t="shared" si="55"/>
        <v>0</v>
      </c>
      <c r="AE334">
        <f t="shared" si="56"/>
        <v>0</v>
      </c>
      <c r="AF334">
        <f t="shared" si="57"/>
        <v>2500</v>
      </c>
      <c r="AG334">
        <f t="shared" si="58"/>
        <v>0</v>
      </c>
      <c r="AH334">
        <f t="shared" si="59"/>
        <v>1000</v>
      </c>
    </row>
    <row r="335" spans="1:34" ht="15.5" x14ac:dyDescent="0.35">
      <c r="A335" s="45" t="s">
        <v>26</v>
      </c>
      <c r="B335" s="45">
        <v>2021</v>
      </c>
      <c r="C335" s="45" t="s">
        <v>65</v>
      </c>
      <c r="D335" s="45" t="s">
        <v>45</v>
      </c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9"/>
      <c r="Q335" s="55"/>
      <c r="R335" s="55"/>
      <c r="S335" s="55"/>
      <c r="T335" s="55"/>
      <c r="U335" s="55"/>
      <c r="V335" s="55"/>
      <c r="W335" s="55"/>
      <c r="X335" s="55"/>
      <c r="Y335" s="55">
        <f t="shared" si="50"/>
        <v>0</v>
      </c>
      <c r="Z335">
        <f t="shared" si="51"/>
        <v>0</v>
      </c>
      <c r="AA335">
        <f t="shared" si="52"/>
        <v>0</v>
      </c>
      <c r="AB335">
        <f t="shared" si="53"/>
        <v>0</v>
      </c>
      <c r="AC335">
        <f t="shared" si="54"/>
        <v>0</v>
      </c>
      <c r="AD335">
        <f t="shared" si="55"/>
        <v>0</v>
      </c>
      <c r="AE335">
        <f t="shared" si="56"/>
        <v>0</v>
      </c>
      <c r="AF335">
        <f t="shared" si="57"/>
        <v>0</v>
      </c>
      <c r="AG335">
        <f t="shared" si="58"/>
        <v>0</v>
      </c>
      <c r="AH335">
        <f t="shared" si="59"/>
        <v>0</v>
      </c>
    </row>
    <row r="336" spans="1:34" ht="15.5" x14ac:dyDescent="0.35">
      <c r="A336" s="45" t="s">
        <v>26</v>
      </c>
      <c r="B336" s="45">
        <v>2021</v>
      </c>
      <c r="C336" s="45" t="s">
        <v>43</v>
      </c>
      <c r="D336" s="45" t="s">
        <v>44</v>
      </c>
      <c r="E336" s="55"/>
      <c r="F336" s="55"/>
      <c r="G336" s="55"/>
      <c r="H336" s="55"/>
      <c r="I336" s="55"/>
      <c r="J336" s="55"/>
      <c r="K336" s="55"/>
      <c r="L336" s="55"/>
      <c r="M336" s="55"/>
      <c r="N336" s="56">
        <v>34575</v>
      </c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>
        <f t="shared" si="50"/>
        <v>0</v>
      </c>
      <c r="Z336">
        <f t="shared" si="51"/>
        <v>0</v>
      </c>
      <c r="AA336">
        <f t="shared" si="52"/>
        <v>0</v>
      </c>
      <c r="AB336">
        <f t="shared" si="53"/>
        <v>0</v>
      </c>
      <c r="AC336">
        <f t="shared" si="54"/>
        <v>34575</v>
      </c>
      <c r="AD336">
        <f t="shared" si="55"/>
        <v>0</v>
      </c>
      <c r="AE336">
        <f t="shared" si="56"/>
        <v>0</v>
      </c>
      <c r="AF336">
        <f t="shared" si="57"/>
        <v>0</v>
      </c>
      <c r="AG336">
        <f t="shared" si="58"/>
        <v>0</v>
      </c>
      <c r="AH336">
        <f t="shared" si="59"/>
        <v>0</v>
      </c>
    </row>
    <row r="337" spans="1:34" ht="15.5" x14ac:dyDescent="0.35">
      <c r="A337" s="45" t="s">
        <v>26</v>
      </c>
      <c r="B337" s="45">
        <v>2017</v>
      </c>
      <c r="C337" s="45" t="s">
        <v>43</v>
      </c>
      <c r="D337" s="45" t="s">
        <v>45</v>
      </c>
      <c r="E337" s="55"/>
      <c r="F337" s="55"/>
      <c r="G337" s="55"/>
      <c r="H337" s="55"/>
      <c r="I337" s="55"/>
      <c r="J337" s="55"/>
      <c r="K337" s="55"/>
      <c r="L337" s="56">
        <v>24981.781999999999</v>
      </c>
      <c r="M337" s="55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>
        <f t="shared" si="50"/>
        <v>0</v>
      </c>
      <c r="Z337">
        <f t="shared" si="51"/>
        <v>0</v>
      </c>
      <c r="AA337">
        <f t="shared" si="52"/>
        <v>0</v>
      </c>
      <c r="AB337">
        <f t="shared" si="53"/>
        <v>24981.781999999999</v>
      </c>
      <c r="AC337">
        <f t="shared" si="54"/>
        <v>0</v>
      </c>
      <c r="AD337">
        <f t="shared" si="55"/>
        <v>0</v>
      </c>
      <c r="AE337">
        <f t="shared" si="56"/>
        <v>0</v>
      </c>
      <c r="AF337">
        <f t="shared" si="57"/>
        <v>0</v>
      </c>
      <c r="AG337">
        <f t="shared" si="58"/>
        <v>0</v>
      </c>
      <c r="AH337">
        <f t="shared" si="59"/>
        <v>0</v>
      </c>
    </row>
    <row r="338" spans="1:34" ht="15.5" x14ac:dyDescent="0.35">
      <c r="A338" s="45" t="s">
        <v>26</v>
      </c>
      <c r="B338" s="45">
        <v>2017</v>
      </c>
      <c r="C338" s="45" t="s">
        <v>65</v>
      </c>
      <c r="D338" s="45" t="s">
        <v>44</v>
      </c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6">
        <v>8175</v>
      </c>
      <c r="U338" s="55"/>
      <c r="V338" s="55"/>
      <c r="W338" s="55"/>
      <c r="X338" s="55"/>
      <c r="Y338" s="55">
        <f t="shared" si="50"/>
        <v>0</v>
      </c>
      <c r="Z338">
        <f t="shared" si="51"/>
        <v>0</v>
      </c>
      <c r="AA338">
        <f t="shared" si="52"/>
        <v>0</v>
      </c>
      <c r="AB338">
        <f t="shared" si="53"/>
        <v>0</v>
      </c>
      <c r="AC338">
        <f t="shared" si="54"/>
        <v>0</v>
      </c>
      <c r="AD338">
        <f t="shared" si="55"/>
        <v>0</v>
      </c>
      <c r="AE338">
        <f t="shared" si="56"/>
        <v>0</v>
      </c>
      <c r="AF338">
        <f t="shared" si="57"/>
        <v>8175</v>
      </c>
      <c r="AG338">
        <f t="shared" si="58"/>
        <v>0</v>
      </c>
      <c r="AH338">
        <f t="shared" si="59"/>
        <v>0</v>
      </c>
    </row>
    <row r="339" spans="1:34" ht="15.5" x14ac:dyDescent="0.35">
      <c r="A339" s="45" t="s">
        <v>26</v>
      </c>
      <c r="B339" s="45">
        <v>2017</v>
      </c>
      <c r="C339" s="45" t="s">
        <v>65</v>
      </c>
      <c r="D339" s="45" t="s">
        <v>45</v>
      </c>
      <c r="E339" s="55"/>
      <c r="F339" s="56">
        <v>3000</v>
      </c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>
        <f t="shared" si="50"/>
        <v>3000</v>
      </c>
      <c r="Z339">
        <f t="shared" si="51"/>
        <v>0</v>
      </c>
      <c r="AA339">
        <f t="shared" si="52"/>
        <v>0</v>
      </c>
      <c r="AB339">
        <f t="shared" si="53"/>
        <v>0</v>
      </c>
      <c r="AC339">
        <f t="shared" si="54"/>
        <v>0</v>
      </c>
      <c r="AD339">
        <f t="shared" si="55"/>
        <v>0</v>
      </c>
      <c r="AE339">
        <f t="shared" si="56"/>
        <v>0</v>
      </c>
      <c r="AF339">
        <f t="shared" si="57"/>
        <v>0</v>
      </c>
      <c r="AG339">
        <f t="shared" si="58"/>
        <v>0</v>
      </c>
      <c r="AH339">
        <f t="shared" si="59"/>
        <v>0</v>
      </c>
    </row>
    <row r="340" spans="1:34" ht="15.5" x14ac:dyDescent="0.35">
      <c r="A340" s="45" t="s">
        <v>26</v>
      </c>
      <c r="B340" s="45">
        <v>2017</v>
      </c>
      <c r="C340" s="45" t="s">
        <v>43</v>
      </c>
      <c r="D340" s="45" t="s">
        <v>46</v>
      </c>
      <c r="E340" s="55"/>
      <c r="F340" s="55">
        <v>2000</v>
      </c>
      <c r="G340" s="55">
        <v>1500</v>
      </c>
      <c r="H340" s="55"/>
      <c r="I340" s="55">
        <v>300</v>
      </c>
      <c r="J340" s="55"/>
      <c r="K340" s="55">
        <v>500</v>
      </c>
      <c r="L340" s="55"/>
      <c r="M340" s="55"/>
      <c r="N340" s="56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>
        <f t="shared" si="50"/>
        <v>2000</v>
      </c>
      <c r="Z340">
        <f t="shared" si="51"/>
        <v>1500</v>
      </c>
      <c r="AA340">
        <f t="shared" si="52"/>
        <v>300</v>
      </c>
      <c r="AB340">
        <f t="shared" si="53"/>
        <v>500</v>
      </c>
      <c r="AC340">
        <f t="shared" si="54"/>
        <v>0</v>
      </c>
      <c r="AD340">
        <f t="shared" si="55"/>
        <v>0</v>
      </c>
      <c r="AE340">
        <f t="shared" si="56"/>
        <v>0</v>
      </c>
      <c r="AF340">
        <f t="shared" si="57"/>
        <v>0</v>
      </c>
      <c r="AG340">
        <f t="shared" si="58"/>
        <v>0</v>
      </c>
      <c r="AH340">
        <f t="shared" si="59"/>
        <v>0</v>
      </c>
    </row>
    <row r="341" spans="1:34" ht="15.5" x14ac:dyDescent="0.35">
      <c r="A341" s="45" t="s">
        <v>26</v>
      </c>
      <c r="B341" s="45">
        <v>2016</v>
      </c>
      <c r="C341" s="45" t="s">
        <v>43</v>
      </c>
      <c r="D341" s="45" t="s">
        <v>46</v>
      </c>
      <c r="E341" s="55">
        <v>1500</v>
      </c>
      <c r="F341" s="55"/>
      <c r="G341" s="55"/>
      <c r="H341" s="55">
        <v>2000</v>
      </c>
      <c r="I341" s="55"/>
      <c r="J341" s="55"/>
      <c r="K341" s="55">
        <v>300</v>
      </c>
      <c r="L341" s="56"/>
      <c r="M341" s="55"/>
      <c r="N341" s="55"/>
      <c r="O341" s="55"/>
      <c r="P341" s="55"/>
      <c r="Q341" s="55"/>
      <c r="R341" s="55">
        <v>300</v>
      </c>
      <c r="S341" s="55"/>
      <c r="T341" s="55"/>
      <c r="U341" s="55"/>
      <c r="V341" s="55"/>
      <c r="W341" s="55"/>
      <c r="X341" s="55"/>
      <c r="Y341" s="55">
        <f t="shared" si="50"/>
        <v>1500</v>
      </c>
      <c r="Z341">
        <f t="shared" si="51"/>
        <v>2000</v>
      </c>
      <c r="AA341">
        <f t="shared" si="52"/>
        <v>0</v>
      </c>
      <c r="AB341">
        <f t="shared" si="53"/>
        <v>300</v>
      </c>
      <c r="AC341">
        <f t="shared" si="54"/>
        <v>0</v>
      </c>
      <c r="AD341">
        <f t="shared" si="55"/>
        <v>0</v>
      </c>
      <c r="AE341">
        <f t="shared" si="56"/>
        <v>300</v>
      </c>
      <c r="AF341">
        <f t="shared" si="57"/>
        <v>0</v>
      </c>
      <c r="AG341">
        <f t="shared" si="58"/>
        <v>0</v>
      </c>
      <c r="AH341">
        <f t="shared" si="59"/>
        <v>0</v>
      </c>
    </row>
    <row r="342" spans="1:34" ht="15.5" x14ac:dyDescent="0.35">
      <c r="A342" s="45" t="s">
        <v>26</v>
      </c>
      <c r="B342" s="45">
        <v>2016</v>
      </c>
      <c r="C342" s="45" t="s">
        <v>65</v>
      </c>
      <c r="D342" s="45" t="s">
        <v>139</v>
      </c>
      <c r="E342" s="55"/>
      <c r="F342" s="55"/>
      <c r="G342" s="55"/>
      <c r="H342" s="55"/>
      <c r="I342" s="55"/>
      <c r="J342" s="55"/>
      <c r="K342" s="55"/>
      <c r="L342" s="55"/>
      <c r="M342" s="55"/>
      <c r="N342" s="57"/>
      <c r="O342" s="55"/>
      <c r="P342" s="55"/>
      <c r="Q342" s="55">
        <v>2500</v>
      </c>
      <c r="R342" s="55"/>
      <c r="S342" s="55"/>
      <c r="T342" s="55"/>
      <c r="U342" s="55"/>
      <c r="V342" s="55">
        <v>208</v>
      </c>
      <c r="W342" s="55"/>
      <c r="X342" s="55"/>
      <c r="Y342" s="55">
        <f t="shared" si="50"/>
        <v>0</v>
      </c>
      <c r="Z342">
        <f t="shared" si="51"/>
        <v>0</v>
      </c>
      <c r="AA342">
        <f t="shared" si="52"/>
        <v>0</v>
      </c>
      <c r="AB342">
        <f t="shared" si="53"/>
        <v>0</v>
      </c>
      <c r="AC342">
        <f t="shared" si="54"/>
        <v>0</v>
      </c>
      <c r="AD342">
        <f t="shared" si="55"/>
        <v>0</v>
      </c>
      <c r="AE342">
        <f t="shared" si="56"/>
        <v>2500</v>
      </c>
      <c r="AF342">
        <f t="shared" si="57"/>
        <v>0</v>
      </c>
      <c r="AG342">
        <f t="shared" si="58"/>
        <v>208</v>
      </c>
      <c r="AH342">
        <f t="shared" si="59"/>
        <v>0</v>
      </c>
    </row>
    <row r="343" spans="1:34" ht="15.5" x14ac:dyDescent="0.35">
      <c r="A343" s="45" t="s">
        <v>26</v>
      </c>
      <c r="B343" s="45">
        <v>2016</v>
      </c>
      <c r="C343" s="45" t="s">
        <v>65</v>
      </c>
      <c r="D343" s="45" t="s">
        <v>139</v>
      </c>
      <c r="E343" s="55"/>
      <c r="F343" s="55"/>
      <c r="G343" s="55"/>
      <c r="H343" s="55"/>
      <c r="I343" s="55"/>
      <c r="J343" s="55">
        <v>1000</v>
      </c>
      <c r="K343" s="55">
        <v>12000</v>
      </c>
      <c r="L343" s="58"/>
      <c r="M343" s="55">
        <v>10000</v>
      </c>
      <c r="N343" s="55"/>
      <c r="O343" s="55"/>
      <c r="P343" s="55">
        <v>500</v>
      </c>
      <c r="Q343" s="55"/>
      <c r="R343" s="55"/>
      <c r="S343" s="55"/>
      <c r="T343" s="55"/>
      <c r="U343" s="55"/>
      <c r="V343" s="55"/>
      <c r="W343" s="55">
        <v>510</v>
      </c>
      <c r="X343" s="55"/>
      <c r="Y343" s="55">
        <f t="shared" si="50"/>
        <v>0</v>
      </c>
      <c r="Z343">
        <f t="shared" si="51"/>
        <v>0</v>
      </c>
      <c r="AA343">
        <f t="shared" si="52"/>
        <v>1000</v>
      </c>
      <c r="AB343">
        <f t="shared" si="53"/>
        <v>12000</v>
      </c>
      <c r="AC343">
        <f t="shared" si="54"/>
        <v>10000</v>
      </c>
      <c r="AD343">
        <f t="shared" si="55"/>
        <v>500</v>
      </c>
      <c r="AE343">
        <f t="shared" si="56"/>
        <v>0</v>
      </c>
      <c r="AF343">
        <f t="shared" si="57"/>
        <v>0</v>
      </c>
      <c r="AG343">
        <f t="shared" si="58"/>
        <v>0</v>
      </c>
      <c r="AH343">
        <f t="shared" si="59"/>
        <v>510</v>
      </c>
    </row>
    <row r="344" spans="1:34" ht="15.5" x14ac:dyDescent="0.35">
      <c r="A344" s="45" t="s">
        <v>26</v>
      </c>
      <c r="B344" s="45">
        <v>2016</v>
      </c>
      <c r="C344" s="45" t="s">
        <v>43</v>
      </c>
      <c r="D344" s="45" t="s">
        <v>69</v>
      </c>
      <c r="E344" s="55"/>
      <c r="F344" s="55"/>
      <c r="G344" s="55"/>
      <c r="H344" s="55"/>
      <c r="I344" s="55">
        <v>700</v>
      </c>
      <c r="J344" s="55"/>
      <c r="K344" s="55"/>
      <c r="L344" s="55">
        <v>200</v>
      </c>
      <c r="M344" s="55"/>
      <c r="N344" s="59"/>
      <c r="O344" s="55">
        <v>1000</v>
      </c>
      <c r="P344" s="55"/>
      <c r="Q344" s="55"/>
      <c r="R344" s="55"/>
      <c r="S344" s="55"/>
      <c r="T344" s="55"/>
      <c r="U344" s="55"/>
      <c r="V344" s="55"/>
      <c r="W344" s="55"/>
      <c r="X344" s="55"/>
      <c r="Y344" s="55">
        <f t="shared" si="50"/>
        <v>0</v>
      </c>
      <c r="Z344">
        <f t="shared" si="51"/>
        <v>0</v>
      </c>
      <c r="AA344">
        <f t="shared" si="52"/>
        <v>700</v>
      </c>
      <c r="AB344">
        <f t="shared" si="53"/>
        <v>200</v>
      </c>
      <c r="AC344">
        <f t="shared" si="54"/>
        <v>0</v>
      </c>
      <c r="AD344">
        <f t="shared" si="55"/>
        <v>1000</v>
      </c>
      <c r="AE344">
        <f t="shared" si="56"/>
        <v>0</v>
      </c>
      <c r="AF344">
        <f t="shared" si="57"/>
        <v>0</v>
      </c>
      <c r="AG344">
        <f t="shared" si="58"/>
        <v>0</v>
      </c>
      <c r="AH344">
        <f t="shared" si="59"/>
        <v>0</v>
      </c>
    </row>
    <row r="345" spans="1:34" ht="15.5" x14ac:dyDescent="0.35">
      <c r="A345" s="45" t="s">
        <v>26</v>
      </c>
      <c r="B345" s="45">
        <v>2016</v>
      </c>
      <c r="C345" s="45" t="s">
        <v>43</v>
      </c>
      <c r="D345" s="45" t="s">
        <v>140</v>
      </c>
      <c r="E345" s="55"/>
      <c r="F345" s="55"/>
      <c r="G345" s="55"/>
      <c r="H345" s="55"/>
      <c r="I345" s="55"/>
      <c r="J345" s="55"/>
      <c r="K345" s="55"/>
      <c r="L345" s="59"/>
      <c r="M345" s="55"/>
      <c r="N345" s="55">
        <v>50</v>
      </c>
      <c r="O345" s="55"/>
      <c r="P345" s="55"/>
      <c r="Q345" s="55"/>
      <c r="R345" s="55"/>
      <c r="S345" s="55"/>
      <c r="T345" s="55">
        <v>500</v>
      </c>
      <c r="U345" s="55"/>
      <c r="V345" s="55"/>
      <c r="W345" s="55"/>
      <c r="X345" s="55"/>
      <c r="Y345" s="55">
        <f t="shared" si="50"/>
        <v>0</v>
      </c>
      <c r="Z345">
        <f t="shared" si="51"/>
        <v>0</v>
      </c>
      <c r="AA345">
        <f t="shared" si="52"/>
        <v>0</v>
      </c>
      <c r="AB345">
        <f t="shared" si="53"/>
        <v>0</v>
      </c>
      <c r="AC345">
        <f t="shared" si="54"/>
        <v>50</v>
      </c>
      <c r="AD345">
        <f t="shared" si="55"/>
        <v>0</v>
      </c>
      <c r="AE345">
        <f t="shared" si="56"/>
        <v>0</v>
      </c>
      <c r="AF345">
        <f t="shared" si="57"/>
        <v>500</v>
      </c>
      <c r="AG345">
        <f t="shared" si="58"/>
        <v>0</v>
      </c>
      <c r="AH345">
        <f t="shared" si="59"/>
        <v>0</v>
      </c>
    </row>
    <row r="346" spans="1:34" ht="15.5" x14ac:dyDescent="0.35">
      <c r="A346" s="45" t="s">
        <v>26</v>
      </c>
      <c r="B346" s="45">
        <v>2022</v>
      </c>
      <c r="C346" s="45" t="s">
        <v>65</v>
      </c>
      <c r="D346" s="45" t="s">
        <v>141</v>
      </c>
      <c r="E346" s="55"/>
      <c r="F346" s="56">
        <v>34575</v>
      </c>
      <c r="G346" s="55"/>
      <c r="H346" s="55"/>
      <c r="I346" s="55"/>
      <c r="J346" s="55"/>
      <c r="K346" s="55"/>
      <c r="L346" s="55"/>
      <c r="M346" s="55"/>
      <c r="N346" s="59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>
        <f t="shared" si="50"/>
        <v>34575</v>
      </c>
      <c r="Z346">
        <f t="shared" si="51"/>
        <v>0</v>
      </c>
      <c r="AA346">
        <f t="shared" si="52"/>
        <v>0</v>
      </c>
      <c r="AB346">
        <f t="shared" si="53"/>
        <v>0</v>
      </c>
      <c r="AC346">
        <f t="shared" si="54"/>
        <v>0</v>
      </c>
      <c r="AD346">
        <f t="shared" si="55"/>
        <v>0</v>
      </c>
      <c r="AE346">
        <f t="shared" si="56"/>
        <v>0</v>
      </c>
      <c r="AF346">
        <f t="shared" si="57"/>
        <v>0</v>
      </c>
      <c r="AG346">
        <f t="shared" si="58"/>
        <v>0</v>
      </c>
      <c r="AH346">
        <f t="shared" si="59"/>
        <v>0</v>
      </c>
    </row>
    <row r="347" spans="1:34" ht="15.5" x14ac:dyDescent="0.35">
      <c r="A347" s="45" t="s">
        <v>26</v>
      </c>
      <c r="B347" s="45">
        <v>2022</v>
      </c>
      <c r="C347" s="45" t="s">
        <v>65</v>
      </c>
      <c r="D347" s="45" t="s">
        <v>69</v>
      </c>
      <c r="E347" s="55"/>
      <c r="F347" s="55"/>
      <c r="G347" s="55"/>
      <c r="H347" s="55"/>
      <c r="I347" s="55"/>
      <c r="J347" s="55"/>
      <c r="K347" s="55"/>
      <c r="L347" s="55"/>
      <c r="M347" s="55"/>
      <c r="N347" s="59"/>
      <c r="O347" s="55"/>
      <c r="P347" s="55"/>
      <c r="Q347" s="55"/>
      <c r="R347" s="55">
        <v>100</v>
      </c>
      <c r="S347" s="55"/>
      <c r="T347" s="55"/>
      <c r="U347" s="55"/>
      <c r="V347" s="55"/>
      <c r="W347" s="55"/>
      <c r="X347" s="55"/>
      <c r="Y347" s="55">
        <f t="shared" si="50"/>
        <v>0</v>
      </c>
      <c r="Z347">
        <f t="shared" si="51"/>
        <v>0</v>
      </c>
      <c r="AA347">
        <f t="shared" si="52"/>
        <v>0</v>
      </c>
      <c r="AB347">
        <f t="shared" si="53"/>
        <v>0</v>
      </c>
      <c r="AC347">
        <f t="shared" si="54"/>
        <v>0</v>
      </c>
      <c r="AD347">
        <f t="shared" si="55"/>
        <v>0</v>
      </c>
      <c r="AE347">
        <f t="shared" si="56"/>
        <v>100</v>
      </c>
      <c r="AF347">
        <f t="shared" si="57"/>
        <v>0</v>
      </c>
      <c r="AG347">
        <f t="shared" si="58"/>
        <v>0</v>
      </c>
      <c r="AH347">
        <f t="shared" si="59"/>
        <v>0</v>
      </c>
    </row>
    <row r="348" spans="1:34" ht="15.5" x14ac:dyDescent="0.35">
      <c r="A348" s="45" t="s">
        <v>26</v>
      </c>
      <c r="B348" s="45">
        <v>2022</v>
      </c>
      <c r="C348" s="45" t="s">
        <v>43</v>
      </c>
      <c r="D348" s="45" t="s">
        <v>142</v>
      </c>
      <c r="E348" s="55"/>
      <c r="F348" s="55"/>
      <c r="G348" s="55"/>
      <c r="H348" s="55"/>
      <c r="I348" s="55"/>
      <c r="J348" s="55"/>
      <c r="K348" s="55"/>
      <c r="L348" s="59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55">
        <f t="shared" si="50"/>
        <v>0</v>
      </c>
      <c r="Z348">
        <f t="shared" si="51"/>
        <v>0</v>
      </c>
      <c r="AA348">
        <f t="shared" si="52"/>
        <v>0</v>
      </c>
      <c r="AB348">
        <f t="shared" si="53"/>
        <v>0</v>
      </c>
      <c r="AC348">
        <f t="shared" si="54"/>
        <v>0</v>
      </c>
      <c r="AD348">
        <f t="shared" si="55"/>
        <v>0</v>
      </c>
      <c r="AE348">
        <f t="shared" si="56"/>
        <v>0</v>
      </c>
      <c r="AF348">
        <f t="shared" si="57"/>
        <v>0</v>
      </c>
      <c r="AG348">
        <f t="shared" si="58"/>
        <v>0</v>
      </c>
      <c r="AH348">
        <f t="shared" si="59"/>
        <v>0</v>
      </c>
    </row>
    <row r="349" spans="1:34" ht="15.5" x14ac:dyDescent="0.35">
      <c r="A349" s="45" t="s">
        <v>26</v>
      </c>
      <c r="B349" s="45">
        <v>2022</v>
      </c>
      <c r="C349" s="45" t="s">
        <v>43</v>
      </c>
      <c r="D349" s="45" t="s">
        <v>44</v>
      </c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6">
        <v>3000</v>
      </c>
      <c r="U349" s="55"/>
      <c r="V349" s="55"/>
      <c r="W349" s="55"/>
      <c r="X349" s="55"/>
      <c r="Y349" s="55">
        <f t="shared" si="50"/>
        <v>0</v>
      </c>
      <c r="Z349">
        <f t="shared" si="51"/>
        <v>0</v>
      </c>
      <c r="AA349">
        <f t="shared" si="52"/>
        <v>0</v>
      </c>
      <c r="AB349">
        <f t="shared" si="53"/>
        <v>0</v>
      </c>
      <c r="AC349">
        <f t="shared" si="54"/>
        <v>0</v>
      </c>
      <c r="AD349">
        <f t="shared" si="55"/>
        <v>0</v>
      </c>
      <c r="AE349">
        <f t="shared" si="56"/>
        <v>0</v>
      </c>
      <c r="AF349">
        <f t="shared" si="57"/>
        <v>3000</v>
      </c>
      <c r="AG349">
        <f t="shared" si="58"/>
        <v>0</v>
      </c>
      <c r="AH349">
        <f t="shared" si="59"/>
        <v>0</v>
      </c>
    </row>
    <row r="350" spans="1:34" ht="15.5" x14ac:dyDescent="0.35">
      <c r="A350" s="45" t="s">
        <v>26</v>
      </c>
      <c r="B350" s="45">
        <v>2022</v>
      </c>
      <c r="C350" s="45" t="s">
        <v>65</v>
      </c>
      <c r="D350" s="45" t="s">
        <v>45</v>
      </c>
      <c r="E350" s="55"/>
      <c r="F350" s="56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>
        <v>2000</v>
      </c>
      <c r="U350" s="55">
        <v>1500</v>
      </c>
      <c r="V350" s="55"/>
      <c r="W350" s="55">
        <v>300</v>
      </c>
      <c r="X350" s="55"/>
      <c r="Y350" s="55">
        <f t="shared" si="50"/>
        <v>0</v>
      </c>
      <c r="Z350">
        <f t="shared" si="51"/>
        <v>0</v>
      </c>
      <c r="AA350">
        <f t="shared" si="52"/>
        <v>0</v>
      </c>
      <c r="AB350">
        <f t="shared" si="53"/>
        <v>0</v>
      </c>
      <c r="AC350">
        <f t="shared" si="54"/>
        <v>0</v>
      </c>
      <c r="AD350">
        <f t="shared" si="55"/>
        <v>0</v>
      </c>
      <c r="AE350">
        <f t="shared" si="56"/>
        <v>0</v>
      </c>
      <c r="AF350">
        <f t="shared" si="57"/>
        <v>2000</v>
      </c>
      <c r="AG350">
        <f t="shared" si="58"/>
        <v>1500</v>
      </c>
      <c r="AH350">
        <f t="shared" si="59"/>
        <v>300</v>
      </c>
    </row>
    <row r="351" spans="1:34" ht="15.5" x14ac:dyDescent="0.35">
      <c r="A351" s="45" t="s">
        <v>26</v>
      </c>
      <c r="B351" s="45">
        <v>2022</v>
      </c>
      <c r="C351" s="45" t="s">
        <v>65</v>
      </c>
      <c r="D351" s="45" t="s">
        <v>44</v>
      </c>
      <c r="E351" s="55"/>
      <c r="F351" s="55"/>
      <c r="G351" s="55"/>
      <c r="H351" s="55"/>
      <c r="I351" s="55"/>
      <c r="J351" s="55">
        <v>300</v>
      </c>
      <c r="K351" s="55"/>
      <c r="L351" s="55"/>
      <c r="M351" s="55"/>
      <c r="N351" s="59"/>
      <c r="O351" s="56">
        <v>8175</v>
      </c>
      <c r="P351" s="55"/>
      <c r="Q351" s="55"/>
      <c r="R351" s="55"/>
      <c r="S351" s="55">
        <v>1500</v>
      </c>
      <c r="T351" s="55"/>
      <c r="U351" s="55"/>
      <c r="V351" s="55">
        <v>2000</v>
      </c>
      <c r="W351" s="55"/>
      <c r="X351" s="55"/>
      <c r="Y351" s="55">
        <f t="shared" si="50"/>
        <v>0</v>
      </c>
      <c r="Z351">
        <f t="shared" si="51"/>
        <v>0</v>
      </c>
      <c r="AA351">
        <f t="shared" si="52"/>
        <v>300</v>
      </c>
      <c r="AB351">
        <f t="shared" si="53"/>
        <v>0</v>
      </c>
      <c r="AC351">
        <f t="shared" si="54"/>
        <v>0</v>
      </c>
      <c r="AD351">
        <f t="shared" si="55"/>
        <v>8175</v>
      </c>
      <c r="AE351">
        <f t="shared" si="56"/>
        <v>0</v>
      </c>
      <c r="AF351">
        <f t="shared" si="57"/>
        <v>1500</v>
      </c>
      <c r="AG351">
        <f t="shared" si="58"/>
        <v>2000</v>
      </c>
      <c r="AH351">
        <f t="shared" si="59"/>
        <v>0</v>
      </c>
    </row>
    <row r="352" spans="1:34" ht="15.5" x14ac:dyDescent="0.35">
      <c r="A352" s="45" t="s">
        <v>27</v>
      </c>
      <c r="B352" s="45">
        <v>2016</v>
      </c>
      <c r="C352" s="45" t="s">
        <v>43</v>
      </c>
      <c r="D352" s="45" t="s">
        <v>45</v>
      </c>
      <c r="E352" s="55"/>
      <c r="F352" s="57"/>
      <c r="G352" s="55"/>
      <c r="H352" s="55"/>
      <c r="I352" s="55">
        <v>2500</v>
      </c>
      <c r="J352" s="55"/>
      <c r="K352" s="55"/>
      <c r="L352" s="55"/>
      <c r="M352" s="55"/>
      <c r="N352" s="59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>
        <f t="shared" si="50"/>
        <v>0</v>
      </c>
      <c r="Z352">
        <f t="shared" si="51"/>
        <v>0</v>
      </c>
      <c r="AA352">
        <f t="shared" si="52"/>
        <v>2500</v>
      </c>
      <c r="AB352">
        <f t="shared" si="53"/>
        <v>0</v>
      </c>
      <c r="AC352">
        <f t="shared" si="54"/>
        <v>0</v>
      </c>
      <c r="AD352">
        <f t="shared" si="55"/>
        <v>0</v>
      </c>
      <c r="AE352">
        <f t="shared" si="56"/>
        <v>0</v>
      </c>
      <c r="AF352">
        <f t="shared" si="57"/>
        <v>0</v>
      </c>
      <c r="AG352">
        <f t="shared" si="58"/>
        <v>0</v>
      </c>
      <c r="AH352">
        <f t="shared" si="59"/>
        <v>0</v>
      </c>
    </row>
    <row r="353" spans="1:34" ht="15.5" x14ac:dyDescent="0.35">
      <c r="A353" s="45" t="s">
        <v>27</v>
      </c>
      <c r="B353" s="45">
        <v>2016</v>
      </c>
      <c r="C353" s="45" t="s">
        <v>43</v>
      </c>
      <c r="D353" s="45" t="s">
        <v>44</v>
      </c>
      <c r="E353" s="55">
        <v>10000</v>
      </c>
      <c r="F353" s="55"/>
      <c r="G353" s="55"/>
      <c r="H353" s="55">
        <v>500</v>
      </c>
      <c r="I353" s="55"/>
      <c r="J353" s="55"/>
      <c r="K353" s="55">
        <v>12000</v>
      </c>
      <c r="L353" s="58"/>
      <c r="M353" s="55">
        <v>10000</v>
      </c>
      <c r="N353" s="55"/>
      <c r="O353" s="55"/>
      <c r="P353" s="55">
        <v>600</v>
      </c>
      <c r="Q353" s="55"/>
      <c r="R353" s="55"/>
      <c r="S353" s="55"/>
      <c r="T353" s="55"/>
      <c r="U353" s="55"/>
      <c r="V353" s="55"/>
      <c r="W353" s="55"/>
      <c r="X353" s="55">
        <v>1000</v>
      </c>
      <c r="Y353" s="55">
        <f t="shared" si="50"/>
        <v>10000</v>
      </c>
      <c r="Z353">
        <f t="shared" si="51"/>
        <v>500</v>
      </c>
      <c r="AA353">
        <f t="shared" si="52"/>
        <v>0</v>
      </c>
      <c r="AB353">
        <f t="shared" si="53"/>
        <v>12000</v>
      </c>
      <c r="AC353">
        <f t="shared" si="54"/>
        <v>10000</v>
      </c>
      <c r="AD353">
        <f t="shared" si="55"/>
        <v>600</v>
      </c>
      <c r="AE353">
        <f t="shared" si="56"/>
        <v>0</v>
      </c>
      <c r="AF353">
        <f t="shared" si="57"/>
        <v>0</v>
      </c>
      <c r="AG353">
        <f t="shared" si="58"/>
        <v>0</v>
      </c>
      <c r="AH353">
        <f t="shared" si="59"/>
        <v>1000</v>
      </c>
    </row>
    <row r="354" spans="1:34" ht="15.5" x14ac:dyDescent="0.35">
      <c r="A354" s="45" t="s">
        <v>27</v>
      </c>
      <c r="B354" s="45">
        <v>2916</v>
      </c>
      <c r="C354" s="45" t="s">
        <v>65</v>
      </c>
      <c r="D354" s="45" t="s">
        <v>45</v>
      </c>
      <c r="E354" s="55"/>
      <c r="F354" s="59"/>
      <c r="G354" s="55">
        <v>1000</v>
      </c>
      <c r="H354" s="55"/>
      <c r="I354" s="55"/>
      <c r="J354" s="55"/>
      <c r="K354" s="55"/>
      <c r="L354" s="55">
        <v>200</v>
      </c>
      <c r="M354" s="55"/>
      <c r="N354" s="59"/>
      <c r="O354" s="55"/>
      <c r="P354" s="55"/>
      <c r="Q354" s="55"/>
      <c r="R354" s="55"/>
      <c r="S354" s="55"/>
      <c r="T354" s="55"/>
      <c r="U354" s="55"/>
      <c r="V354" s="55"/>
      <c r="W354" s="55">
        <v>700</v>
      </c>
      <c r="X354" s="55"/>
      <c r="Y354" s="55">
        <f t="shared" si="50"/>
        <v>0</v>
      </c>
      <c r="Z354">
        <f t="shared" si="51"/>
        <v>1000</v>
      </c>
      <c r="AA354">
        <f t="shared" si="52"/>
        <v>0</v>
      </c>
      <c r="AB354">
        <f t="shared" si="53"/>
        <v>200</v>
      </c>
      <c r="AC354">
        <f t="shared" si="54"/>
        <v>0</v>
      </c>
      <c r="AD354">
        <f t="shared" si="55"/>
        <v>0</v>
      </c>
      <c r="AE354">
        <f t="shared" si="56"/>
        <v>0</v>
      </c>
      <c r="AF354">
        <f t="shared" si="57"/>
        <v>0</v>
      </c>
      <c r="AG354">
        <f t="shared" si="58"/>
        <v>0</v>
      </c>
      <c r="AH354">
        <f t="shared" si="59"/>
        <v>700</v>
      </c>
    </row>
    <row r="355" spans="1:34" ht="15.5" x14ac:dyDescent="0.35">
      <c r="A355" s="45" t="s">
        <v>27</v>
      </c>
      <c r="B355" s="45">
        <v>2016</v>
      </c>
      <c r="C355" s="45" t="s">
        <v>65</v>
      </c>
      <c r="D355" s="45" t="s">
        <v>46</v>
      </c>
      <c r="E355" s="55"/>
      <c r="F355" s="55">
        <v>50</v>
      </c>
      <c r="G355" s="55"/>
      <c r="H355" s="55"/>
      <c r="I355" s="55"/>
      <c r="J355" s="55"/>
      <c r="K355" s="55"/>
      <c r="L355" s="59"/>
      <c r="M355" s="55"/>
      <c r="N355" s="59"/>
      <c r="O355" s="55"/>
      <c r="P355" s="55"/>
      <c r="Q355" s="55">
        <v>208</v>
      </c>
      <c r="R355" s="55"/>
      <c r="S355" s="55"/>
      <c r="T355" s="55"/>
      <c r="U355" s="55"/>
      <c r="V355" s="55"/>
      <c r="W355" s="55"/>
      <c r="X355" s="55"/>
      <c r="Y355" s="55">
        <f t="shared" si="50"/>
        <v>50</v>
      </c>
      <c r="Z355">
        <f t="shared" si="51"/>
        <v>0</v>
      </c>
      <c r="AA355">
        <f t="shared" si="52"/>
        <v>0</v>
      </c>
      <c r="AB355">
        <f t="shared" si="53"/>
        <v>0</v>
      </c>
      <c r="AC355">
        <f t="shared" si="54"/>
        <v>0</v>
      </c>
      <c r="AD355">
        <f t="shared" si="55"/>
        <v>0</v>
      </c>
      <c r="AE355">
        <f t="shared" si="56"/>
        <v>208</v>
      </c>
      <c r="AF355">
        <f t="shared" si="57"/>
        <v>0</v>
      </c>
      <c r="AG355">
        <f t="shared" si="58"/>
        <v>0</v>
      </c>
      <c r="AH355">
        <f t="shared" si="59"/>
        <v>0</v>
      </c>
    </row>
    <row r="356" spans="1:34" ht="15.5" x14ac:dyDescent="0.35">
      <c r="A356" s="45" t="s">
        <v>27</v>
      </c>
      <c r="B356" s="45">
        <v>2017</v>
      </c>
      <c r="C356" s="45" t="s">
        <v>43</v>
      </c>
      <c r="D356" s="45" t="s">
        <v>46</v>
      </c>
      <c r="E356" s="55"/>
      <c r="F356" s="59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>
        <v>510</v>
      </c>
      <c r="S356" s="55"/>
      <c r="T356" s="55"/>
      <c r="U356" s="55"/>
      <c r="V356" s="55"/>
      <c r="W356" s="55"/>
      <c r="X356" s="55">
        <v>88</v>
      </c>
      <c r="Y356" s="55">
        <f t="shared" si="50"/>
        <v>0</v>
      </c>
      <c r="Z356">
        <f t="shared" si="51"/>
        <v>0</v>
      </c>
      <c r="AA356">
        <f t="shared" si="52"/>
        <v>0</v>
      </c>
      <c r="AB356">
        <f t="shared" si="53"/>
        <v>0</v>
      </c>
      <c r="AC356">
        <f t="shared" si="54"/>
        <v>0</v>
      </c>
      <c r="AD356">
        <f t="shared" si="55"/>
        <v>0</v>
      </c>
      <c r="AE356">
        <f t="shared" si="56"/>
        <v>510</v>
      </c>
      <c r="AF356">
        <f t="shared" si="57"/>
        <v>0</v>
      </c>
      <c r="AG356">
        <f t="shared" si="58"/>
        <v>0</v>
      </c>
      <c r="AH356">
        <f t="shared" si="59"/>
        <v>88</v>
      </c>
    </row>
    <row r="357" spans="1:34" ht="15.5" x14ac:dyDescent="0.35">
      <c r="A357" s="45" t="s">
        <v>27</v>
      </c>
      <c r="B357" s="45">
        <v>2017</v>
      </c>
      <c r="C357" s="45" t="s">
        <v>43</v>
      </c>
      <c r="D357" s="45" t="s">
        <v>139</v>
      </c>
      <c r="E357" s="55"/>
      <c r="F357" s="59"/>
      <c r="G357" s="55"/>
      <c r="H357" s="55"/>
      <c r="I357" s="55"/>
      <c r="J357" s="55"/>
      <c r="K357" s="55"/>
      <c r="L357" s="55"/>
      <c r="M357" s="55"/>
      <c r="N357" s="59"/>
      <c r="O357" s="55"/>
      <c r="P357" s="55"/>
      <c r="Q357" s="55"/>
      <c r="R357" s="55"/>
      <c r="S357" s="55"/>
      <c r="T357" s="55"/>
      <c r="U357" s="55">
        <v>200</v>
      </c>
      <c r="V357" s="55"/>
      <c r="W357" s="55"/>
      <c r="X357" s="55"/>
      <c r="Y357" s="55">
        <f t="shared" si="50"/>
        <v>0</v>
      </c>
      <c r="Z357">
        <f t="shared" si="51"/>
        <v>0</v>
      </c>
      <c r="AA357">
        <f t="shared" si="52"/>
        <v>0</v>
      </c>
      <c r="AB357">
        <f t="shared" si="53"/>
        <v>0</v>
      </c>
      <c r="AC357">
        <f t="shared" si="54"/>
        <v>0</v>
      </c>
      <c r="AD357">
        <f t="shared" si="55"/>
        <v>0</v>
      </c>
      <c r="AE357">
        <f t="shared" si="56"/>
        <v>0</v>
      </c>
      <c r="AF357">
        <f t="shared" si="57"/>
        <v>0</v>
      </c>
      <c r="AG357">
        <f t="shared" si="58"/>
        <v>200</v>
      </c>
      <c r="AH357">
        <f t="shared" si="59"/>
        <v>0</v>
      </c>
    </row>
    <row r="358" spans="1:34" ht="15.5" x14ac:dyDescent="0.35">
      <c r="A358" s="45" t="s">
        <v>27</v>
      </c>
      <c r="B358" s="45">
        <v>2017</v>
      </c>
      <c r="C358" s="45" t="s">
        <v>65</v>
      </c>
      <c r="D358" s="45" t="s">
        <v>139</v>
      </c>
      <c r="E358" s="55"/>
      <c r="F358" s="55">
        <v>2500</v>
      </c>
      <c r="G358" s="55"/>
      <c r="H358" s="55"/>
      <c r="I358" s="55">
        <v>12000</v>
      </c>
      <c r="J358" s="55"/>
      <c r="K358" s="55">
        <v>2500</v>
      </c>
      <c r="L358" s="55"/>
      <c r="M358" s="55"/>
      <c r="N358" s="55"/>
      <c r="O358" s="59"/>
      <c r="P358" s="55">
        <v>1000</v>
      </c>
      <c r="Q358" s="55"/>
      <c r="R358" s="55"/>
      <c r="S358" s="55"/>
      <c r="T358" s="55"/>
      <c r="U358" s="55"/>
      <c r="V358" s="55"/>
      <c r="W358" s="55"/>
      <c r="X358" s="55"/>
      <c r="Y358" s="55">
        <f t="shared" si="50"/>
        <v>2500</v>
      </c>
      <c r="Z358">
        <f t="shared" si="51"/>
        <v>0</v>
      </c>
      <c r="AA358">
        <f t="shared" si="52"/>
        <v>12000</v>
      </c>
      <c r="AB358">
        <f t="shared" si="53"/>
        <v>2500</v>
      </c>
      <c r="AC358">
        <f t="shared" si="54"/>
        <v>0</v>
      </c>
      <c r="AD358">
        <f t="shared" si="55"/>
        <v>1000</v>
      </c>
      <c r="AE358">
        <f t="shared" si="56"/>
        <v>0</v>
      </c>
      <c r="AF358">
        <f t="shared" si="57"/>
        <v>0</v>
      </c>
      <c r="AG358">
        <f t="shared" si="58"/>
        <v>0</v>
      </c>
      <c r="AH358">
        <f t="shared" si="59"/>
        <v>0</v>
      </c>
    </row>
    <row r="359" spans="1:34" ht="15.5" x14ac:dyDescent="0.35">
      <c r="A359" s="45" t="s">
        <v>27</v>
      </c>
      <c r="B359" s="45">
        <v>2018</v>
      </c>
      <c r="C359" s="45" t="s">
        <v>65</v>
      </c>
      <c r="D359" s="45" t="s">
        <v>69</v>
      </c>
      <c r="E359" s="55">
        <v>300</v>
      </c>
      <c r="F359" s="55"/>
      <c r="G359" s="55"/>
      <c r="H359" s="55"/>
      <c r="I359" s="55">
        <v>2500</v>
      </c>
      <c r="J359" s="55">
        <v>500</v>
      </c>
      <c r="K359" s="55"/>
      <c r="L359" s="55"/>
      <c r="M359" s="55"/>
      <c r="N359" s="55"/>
      <c r="O359" s="55">
        <v>50</v>
      </c>
      <c r="P359" s="55"/>
      <c r="Q359" s="55"/>
      <c r="R359" s="55"/>
      <c r="S359" s="55"/>
      <c r="T359" s="55"/>
      <c r="U359" s="55"/>
      <c r="V359" s="55"/>
      <c r="W359" s="55"/>
      <c r="X359" s="56"/>
      <c r="Y359" s="55">
        <f t="shared" si="50"/>
        <v>300</v>
      </c>
      <c r="Z359">
        <f t="shared" si="51"/>
        <v>0</v>
      </c>
      <c r="AA359">
        <f t="shared" si="52"/>
        <v>3000</v>
      </c>
      <c r="AB359">
        <f t="shared" si="53"/>
        <v>0</v>
      </c>
      <c r="AC359">
        <f t="shared" si="54"/>
        <v>0</v>
      </c>
      <c r="AD359">
        <f t="shared" si="55"/>
        <v>50</v>
      </c>
      <c r="AE359">
        <f t="shared" si="56"/>
        <v>0</v>
      </c>
      <c r="AF359">
        <f t="shared" si="57"/>
        <v>0</v>
      </c>
      <c r="AG359">
        <f t="shared" si="58"/>
        <v>0</v>
      </c>
      <c r="AH359">
        <f t="shared" si="59"/>
        <v>0</v>
      </c>
    </row>
    <row r="360" spans="1:34" x14ac:dyDescent="0.35">
      <c r="A360" s="45" t="s">
        <v>27</v>
      </c>
      <c r="B360" s="45">
        <v>2018</v>
      </c>
      <c r="C360" s="45" t="s">
        <v>43</v>
      </c>
      <c r="D360" s="45" t="s">
        <v>140</v>
      </c>
      <c r="E360" s="55"/>
      <c r="F360" s="55"/>
      <c r="G360" s="55"/>
      <c r="H360" s="55"/>
      <c r="I360" s="55"/>
      <c r="J360" s="55"/>
      <c r="K360" s="55"/>
      <c r="L360" s="55"/>
      <c r="M360" s="55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>
        <v>150</v>
      </c>
      <c r="Y360" s="55">
        <f t="shared" si="50"/>
        <v>0</v>
      </c>
      <c r="Z360">
        <f t="shared" si="51"/>
        <v>0</v>
      </c>
      <c r="AA360">
        <f t="shared" si="52"/>
        <v>0</v>
      </c>
      <c r="AB360">
        <f t="shared" si="53"/>
        <v>0</v>
      </c>
      <c r="AC360">
        <f t="shared" si="54"/>
        <v>0</v>
      </c>
      <c r="AD360">
        <f t="shared" si="55"/>
        <v>0</v>
      </c>
      <c r="AE360">
        <f t="shared" si="56"/>
        <v>0</v>
      </c>
      <c r="AF360">
        <f t="shared" si="57"/>
        <v>0</v>
      </c>
      <c r="AG360">
        <f t="shared" si="58"/>
        <v>0</v>
      </c>
      <c r="AH360">
        <f t="shared" si="59"/>
        <v>150</v>
      </c>
    </row>
    <row r="361" spans="1:34" ht="15.5" x14ac:dyDescent="0.35">
      <c r="A361" s="45" t="s">
        <v>27</v>
      </c>
      <c r="B361" s="45">
        <v>2018</v>
      </c>
      <c r="C361" s="45" t="s">
        <v>43</v>
      </c>
      <c r="D361" s="45" t="s">
        <v>141</v>
      </c>
      <c r="E361" s="55"/>
      <c r="F361" s="55"/>
      <c r="G361" s="55">
        <v>2500</v>
      </c>
      <c r="H361" s="55"/>
      <c r="I361" s="55"/>
      <c r="J361" s="55"/>
      <c r="K361" s="55"/>
      <c r="L361" s="55"/>
      <c r="M361" s="55"/>
      <c r="N361" s="55"/>
      <c r="O361" s="59"/>
      <c r="P361" s="55"/>
      <c r="Q361" s="55"/>
      <c r="R361" s="55"/>
      <c r="S361" s="55"/>
      <c r="T361" s="55"/>
      <c r="U361" s="55"/>
      <c r="V361" s="55"/>
      <c r="W361" s="55"/>
      <c r="X361" s="55"/>
      <c r="Y361" s="55">
        <f t="shared" si="50"/>
        <v>0</v>
      </c>
      <c r="Z361">
        <f t="shared" si="51"/>
        <v>2500</v>
      </c>
      <c r="AA361">
        <f t="shared" si="52"/>
        <v>0</v>
      </c>
      <c r="AB361">
        <f t="shared" si="53"/>
        <v>0</v>
      </c>
      <c r="AC361">
        <f t="shared" si="54"/>
        <v>0</v>
      </c>
      <c r="AD361">
        <f t="shared" si="55"/>
        <v>0</v>
      </c>
      <c r="AE361">
        <f t="shared" si="56"/>
        <v>0</v>
      </c>
      <c r="AF361">
        <f t="shared" si="57"/>
        <v>0</v>
      </c>
      <c r="AG361">
        <f t="shared" si="58"/>
        <v>0</v>
      </c>
      <c r="AH361">
        <f t="shared" si="59"/>
        <v>0</v>
      </c>
    </row>
    <row r="362" spans="1:34" ht="15.5" x14ac:dyDescent="0.35">
      <c r="A362" s="45" t="s">
        <v>27</v>
      </c>
      <c r="B362" s="45">
        <v>2018</v>
      </c>
      <c r="C362" s="45" t="s">
        <v>65</v>
      </c>
      <c r="D362" s="45" t="s">
        <v>69</v>
      </c>
      <c r="E362" s="55">
        <v>700</v>
      </c>
      <c r="F362" s="55"/>
      <c r="G362" s="55"/>
      <c r="H362" s="55"/>
      <c r="I362" s="55"/>
      <c r="J362" s="55">
        <v>500</v>
      </c>
      <c r="K362" s="55"/>
      <c r="L362" s="55"/>
      <c r="M362" s="55"/>
      <c r="N362" s="55"/>
      <c r="O362" s="55"/>
      <c r="P362" s="55"/>
      <c r="Q362" s="55"/>
      <c r="R362" s="55"/>
      <c r="S362" s="55">
        <v>300</v>
      </c>
      <c r="T362" s="55"/>
      <c r="U362" s="55"/>
      <c r="V362" s="56"/>
      <c r="W362" s="55"/>
      <c r="X362" s="55"/>
      <c r="Y362" s="55">
        <f t="shared" si="50"/>
        <v>700</v>
      </c>
      <c r="Z362">
        <f t="shared" si="51"/>
        <v>0</v>
      </c>
      <c r="AA362">
        <f t="shared" si="52"/>
        <v>500</v>
      </c>
      <c r="AB362">
        <f t="shared" si="53"/>
        <v>0</v>
      </c>
      <c r="AC362">
        <f t="shared" si="54"/>
        <v>0</v>
      </c>
      <c r="AD362">
        <f t="shared" si="55"/>
        <v>0</v>
      </c>
      <c r="AE362">
        <f t="shared" si="56"/>
        <v>0</v>
      </c>
      <c r="AF362">
        <f t="shared" si="57"/>
        <v>300</v>
      </c>
      <c r="AG362">
        <f t="shared" si="58"/>
        <v>0</v>
      </c>
      <c r="AH362">
        <f t="shared" si="59"/>
        <v>0</v>
      </c>
    </row>
    <row r="363" spans="1:34" ht="15.5" x14ac:dyDescent="0.35">
      <c r="A363" s="45" t="s">
        <v>27</v>
      </c>
      <c r="B363" s="45">
        <v>2018</v>
      </c>
      <c r="C363" s="45" t="s">
        <v>65</v>
      </c>
      <c r="D363" s="45" t="s">
        <v>142</v>
      </c>
      <c r="E363" s="55"/>
      <c r="F363" s="55"/>
      <c r="G363" s="55">
        <v>88</v>
      </c>
      <c r="H363" s="55"/>
      <c r="I363" s="55"/>
      <c r="J363" s="55"/>
      <c r="K363" s="55"/>
      <c r="L363" s="55"/>
      <c r="M363" s="55"/>
      <c r="N363" s="59"/>
      <c r="O363" s="55"/>
      <c r="P363" s="55">
        <v>300</v>
      </c>
      <c r="Q363" s="55"/>
      <c r="R363" s="55">
        <v>2000</v>
      </c>
      <c r="S363" s="55"/>
      <c r="T363" s="55"/>
      <c r="U363" s="55"/>
      <c r="V363" s="55"/>
      <c r="W363" s="55"/>
      <c r="X363" s="55"/>
      <c r="Y363" s="55">
        <f t="shared" si="50"/>
        <v>0</v>
      </c>
      <c r="Z363">
        <f t="shared" si="51"/>
        <v>88</v>
      </c>
      <c r="AA363">
        <f t="shared" si="52"/>
        <v>0</v>
      </c>
      <c r="AB363">
        <f t="shared" si="53"/>
        <v>0</v>
      </c>
      <c r="AC363">
        <f t="shared" si="54"/>
        <v>0</v>
      </c>
      <c r="AD363">
        <f t="shared" si="55"/>
        <v>300</v>
      </c>
      <c r="AE363">
        <f t="shared" si="56"/>
        <v>2000</v>
      </c>
      <c r="AF363">
        <f t="shared" si="57"/>
        <v>0</v>
      </c>
      <c r="AG363">
        <f t="shared" si="58"/>
        <v>0</v>
      </c>
      <c r="AH363">
        <f t="shared" si="59"/>
        <v>0</v>
      </c>
    </row>
    <row r="364" spans="1:34" ht="15.5" x14ac:dyDescent="0.35">
      <c r="A364" s="45" t="s">
        <v>27</v>
      </c>
      <c r="B364" s="45">
        <v>2019</v>
      </c>
      <c r="C364" s="45" t="s">
        <v>43</v>
      </c>
      <c r="D364" s="45" t="s">
        <v>44</v>
      </c>
      <c r="E364" s="55"/>
      <c r="F364" s="55">
        <v>2500</v>
      </c>
      <c r="G364" s="55"/>
      <c r="H364" s="55"/>
      <c r="I364" s="55"/>
      <c r="J364" s="55"/>
      <c r="K364" s="55"/>
      <c r="L364" s="55"/>
      <c r="M364" s="55"/>
      <c r="N364" s="55"/>
      <c r="O364" s="55">
        <v>2500</v>
      </c>
      <c r="P364" s="55"/>
      <c r="Q364" s="55"/>
      <c r="R364" s="55"/>
      <c r="S364" s="55"/>
      <c r="T364" s="55"/>
      <c r="U364" s="55"/>
      <c r="V364" s="57"/>
      <c r="W364" s="55"/>
      <c r="X364" s="55"/>
      <c r="Y364" s="55">
        <f t="shared" si="50"/>
        <v>2500</v>
      </c>
      <c r="Z364">
        <f t="shared" si="51"/>
        <v>0</v>
      </c>
      <c r="AA364">
        <f t="shared" si="52"/>
        <v>0</v>
      </c>
      <c r="AB364">
        <f t="shared" si="53"/>
        <v>0</v>
      </c>
      <c r="AC364">
        <f t="shared" si="54"/>
        <v>0</v>
      </c>
      <c r="AD364">
        <f t="shared" si="55"/>
        <v>2500</v>
      </c>
      <c r="AE364">
        <f t="shared" si="56"/>
        <v>0</v>
      </c>
      <c r="AF364">
        <f t="shared" si="57"/>
        <v>0</v>
      </c>
      <c r="AG364">
        <f t="shared" si="58"/>
        <v>0</v>
      </c>
      <c r="AH364">
        <f t="shared" si="59"/>
        <v>0</v>
      </c>
    </row>
    <row r="365" spans="1:34" x14ac:dyDescent="0.35">
      <c r="A365" s="45" t="s">
        <v>27</v>
      </c>
      <c r="B365" s="45">
        <v>2019</v>
      </c>
      <c r="C365" s="45" t="s">
        <v>43</v>
      </c>
      <c r="D365" s="45" t="s">
        <v>45</v>
      </c>
      <c r="E365" s="55">
        <v>300</v>
      </c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>
        <v>1000</v>
      </c>
      <c r="U365" s="55">
        <v>10000</v>
      </c>
      <c r="V365" s="55"/>
      <c r="W365" s="55"/>
      <c r="X365" s="55">
        <v>500</v>
      </c>
      <c r="Y365" s="55">
        <f t="shared" si="50"/>
        <v>300</v>
      </c>
      <c r="Z365">
        <f t="shared" si="51"/>
        <v>0</v>
      </c>
      <c r="AA365">
        <f t="shared" si="52"/>
        <v>0</v>
      </c>
      <c r="AB365">
        <f t="shared" si="53"/>
        <v>0</v>
      </c>
      <c r="AC365">
        <f t="shared" si="54"/>
        <v>0</v>
      </c>
      <c r="AD365">
        <f t="shared" si="55"/>
        <v>0</v>
      </c>
      <c r="AE365">
        <f t="shared" si="56"/>
        <v>0</v>
      </c>
      <c r="AF365">
        <f t="shared" si="57"/>
        <v>1000</v>
      </c>
      <c r="AG365">
        <f t="shared" si="58"/>
        <v>10000</v>
      </c>
      <c r="AH365">
        <f t="shared" si="59"/>
        <v>500</v>
      </c>
    </row>
    <row r="366" spans="1:34" ht="15.5" x14ac:dyDescent="0.35">
      <c r="A366" s="45" t="s">
        <v>27</v>
      </c>
      <c r="B366" s="45">
        <v>2019</v>
      </c>
      <c r="C366" s="45" t="s">
        <v>65</v>
      </c>
      <c r="D366" s="45" t="s">
        <v>44</v>
      </c>
      <c r="E366" s="55"/>
      <c r="F366" s="55"/>
      <c r="G366" s="55"/>
      <c r="H366" s="55"/>
      <c r="I366" s="55"/>
      <c r="J366" s="55"/>
      <c r="K366" s="55">
        <v>2000</v>
      </c>
      <c r="L366" s="55">
        <v>1500</v>
      </c>
      <c r="M366" s="55"/>
      <c r="N366" s="55">
        <v>300</v>
      </c>
      <c r="O366" s="55"/>
      <c r="P366" s="55"/>
      <c r="Q366" s="55"/>
      <c r="R366" s="55"/>
      <c r="S366" s="55">
        <v>700</v>
      </c>
      <c r="T366" s="55"/>
      <c r="U366" s="55"/>
      <c r="V366" s="59"/>
      <c r="W366" s="55">
        <v>1000</v>
      </c>
      <c r="X366" s="55"/>
      <c r="Y366" s="55">
        <f t="shared" si="50"/>
        <v>0</v>
      </c>
      <c r="Z366">
        <f t="shared" si="51"/>
        <v>0</v>
      </c>
      <c r="AA366">
        <f t="shared" si="52"/>
        <v>0</v>
      </c>
      <c r="AB366">
        <f t="shared" si="53"/>
        <v>3500</v>
      </c>
      <c r="AC366">
        <f t="shared" si="54"/>
        <v>300</v>
      </c>
      <c r="AD366">
        <f t="shared" si="55"/>
        <v>0</v>
      </c>
      <c r="AE366">
        <f t="shared" si="56"/>
        <v>0</v>
      </c>
      <c r="AF366">
        <f t="shared" si="57"/>
        <v>700</v>
      </c>
      <c r="AG366">
        <f t="shared" si="58"/>
        <v>0</v>
      </c>
      <c r="AH366">
        <f t="shared" si="59"/>
        <v>1000</v>
      </c>
    </row>
    <row r="367" spans="1:34" ht="15.5" x14ac:dyDescent="0.35">
      <c r="A367" s="45" t="s">
        <v>27</v>
      </c>
      <c r="B367" s="45">
        <v>2019</v>
      </c>
      <c r="C367" s="45" t="s">
        <v>65</v>
      </c>
      <c r="D367" s="45" t="s">
        <v>45</v>
      </c>
      <c r="E367" s="55"/>
      <c r="F367" s="55"/>
      <c r="G367" s="61"/>
      <c r="H367" s="55"/>
      <c r="I367" s="55"/>
      <c r="J367" s="55"/>
      <c r="K367" s="55"/>
      <c r="L367" s="55"/>
      <c r="M367" s="55"/>
      <c r="N367" s="56">
        <v>3000</v>
      </c>
      <c r="O367" s="55"/>
      <c r="P367" s="55"/>
      <c r="Q367" s="55">
        <v>1000</v>
      </c>
      <c r="R367" s="55"/>
      <c r="S367" s="55"/>
      <c r="T367" s="55"/>
      <c r="U367" s="55"/>
      <c r="V367" s="55">
        <v>50</v>
      </c>
      <c r="W367" s="55"/>
      <c r="X367" s="55"/>
      <c r="Y367" s="55">
        <f t="shared" si="50"/>
        <v>0</v>
      </c>
      <c r="Z367">
        <f t="shared" si="51"/>
        <v>0</v>
      </c>
      <c r="AA367">
        <f t="shared" si="52"/>
        <v>0</v>
      </c>
      <c r="AB367">
        <f t="shared" si="53"/>
        <v>0</v>
      </c>
      <c r="AC367">
        <f t="shared" si="54"/>
        <v>3000</v>
      </c>
      <c r="AD367">
        <f t="shared" si="55"/>
        <v>0</v>
      </c>
      <c r="AE367">
        <f t="shared" si="56"/>
        <v>1000</v>
      </c>
      <c r="AF367">
        <f t="shared" si="57"/>
        <v>0</v>
      </c>
      <c r="AG367">
        <f t="shared" si="58"/>
        <v>50</v>
      </c>
      <c r="AH367">
        <f t="shared" si="59"/>
        <v>0</v>
      </c>
    </row>
    <row r="368" spans="1:34" ht="15.5" x14ac:dyDescent="0.35">
      <c r="A368" s="45" t="s">
        <v>27</v>
      </c>
      <c r="B368" s="45">
        <v>2019</v>
      </c>
      <c r="C368" s="45" t="s">
        <v>43</v>
      </c>
      <c r="D368" s="45" t="s">
        <v>44</v>
      </c>
      <c r="E368" s="55"/>
      <c r="F368" s="55"/>
      <c r="G368" s="55"/>
      <c r="H368" s="55"/>
      <c r="I368" s="55"/>
      <c r="J368" s="55"/>
      <c r="K368" s="55"/>
      <c r="L368" s="55"/>
      <c r="M368" s="55"/>
      <c r="N368" s="55">
        <v>2000</v>
      </c>
      <c r="O368" s="55"/>
      <c r="P368" s="55"/>
      <c r="Q368" s="55"/>
      <c r="R368" s="55"/>
      <c r="S368" s="55"/>
      <c r="T368" s="55"/>
      <c r="U368" s="55"/>
      <c r="V368" s="55"/>
      <c r="W368" s="56"/>
      <c r="X368" s="55"/>
      <c r="Y368" s="55">
        <f t="shared" si="50"/>
        <v>0</v>
      </c>
      <c r="Z368">
        <f t="shared" si="51"/>
        <v>0</v>
      </c>
      <c r="AA368">
        <f t="shared" si="52"/>
        <v>0</v>
      </c>
      <c r="AB368">
        <f t="shared" si="53"/>
        <v>0</v>
      </c>
      <c r="AC368">
        <f t="shared" si="54"/>
        <v>2000</v>
      </c>
      <c r="AD368">
        <f t="shared" si="55"/>
        <v>0</v>
      </c>
      <c r="AE368">
        <f t="shared" si="56"/>
        <v>0</v>
      </c>
      <c r="AF368">
        <f t="shared" si="57"/>
        <v>0</v>
      </c>
      <c r="AG368">
        <f t="shared" si="58"/>
        <v>0</v>
      </c>
      <c r="AH368">
        <f t="shared" si="59"/>
        <v>0</v>
      </c>
    </row>
    <row r="369" spans="1:34" ht="15.5" x14ac:dyDescent="0.35">
      <c r="A369" s="45" t="s">
        <v>27</v>
      </c>
      <c r="B369" s="45">
        <v>2019</v>
      </c>
      <c r="C369" s="45" t="s">
        <v>43</v>
      </c>
      <c r="D369" s="45" t="s">
        <v>45</v>
      </c>
      <c r="E369" s="55">
        <v>88</v>
      </c>
      <c r="F369" s="55"/>
      <c r="G369" s="55"/>
      <c r="H369" s="61"/>
      <c r="I369" s="55"/>
      <c r="J369" s="55"/>
      <c r="K369" s="55"/>
      <c r="L369" s="55"/>
      <c r="M369" s="55">
        <v>1500</v>
      </c>
      <c r="N369" s="55"/>
      <c r="O369" s="55"/>
      <c r="P369" s="55"/>
      <c r="Q369" s="55"/>
      <c r="R369" s="55"/>
      <c r="S369" s="55"/>
      <c r="T369" s="60"/>
      <c r="U369" s="55"/>
      <c r="V369" s="55"/>
      <c r="W369" s="55"/>
      <c r="X369" s="55"/>
      <c r="Y369" s="55">
        <f t="shared" si="50"/>
        <v>88</v>
      </c>
      <c r="Z369">
        <f t="shared" si="51"/>
        <v>0</v>
      </c>
      <c r="AA369">
        <f t="shared" si="52"/>
        <v>0</v>
      </c>
      <c r="AB369">
        <f t="shared" si="53"/>
        <v>0</v>
      </c>
      <c r="AC369">
        <f t="shared" si="54"/>
        <v>1500</v>
      </c>
      <c r="AD369">
        <f t="shared" si="55"/>
        <v>0</v>
      </c>
      <c r="AE369">
        <f t="shared" si="56"/>
        <v>0</v>
      </c>
      <c r="AF369">
        <f t="shared" si="57"/>
        <v>0</v>
      </c>
      <c r="AG369">
        <f t="shared" si="58"/>
        <v>0</v>
      </c>
      <c r="AH369">
        <f t="shared" si="59"/>
        <v>0</v>
      </c>
    </row>
    <row r="370" spans="1:34" ht="15.5" x14ac:dyDescent="0.35">
      <c r="A370" s="45" t="s">
        <v>27</v>
      </c>
      <c r="B370" s="45">
        <v>2019</v>
      </c>
      <c r="C370" s="45" t="s">
        <v>65</v>
      </c>
      <c r="D370" s="45" t="s">
        <v>46</v>
      </c>
      <c r="E370" s="55"/>
      <c r="F370" s="55"/>
      <c r="G370" s="55"/>
      <c r="H370" s="55"/>
      <c r="I370" s="55"/>
      <c r="J370" s="55"/>
      <c r="K370" s="55"/>
      <c r="L370" s="55">
        <v>300</v>
      </c>
      <c r="M370" s="55"/>
      <c r="N370" s="55"/>
      <c r="O370" s="55"/>
      <c r="P370" s="55">
        <v>2500</v>
      </c>
      <c r="Q370" s="55"/>
      <c r="R370" s="55"/>
      <c r="S370" s="55"/>
      <c r="T370" s="55"/>
      <c r="U370" s="55"/>
      <c r="V370" s="55"/>
      <c r="W370" s="57"/>
      <c r="X370" s="55"/>
      <c r="Y370" s="55">
        <f t="shared" si="50"/>
        <v>0</v>
      </c>
      <c r="Z370">
        <f t="shared" si="51"/>
        <v>0</v>
      </c>
      <c r="AA370">
        <f t="shared" si="52"/>
        <v>0</v>
      </c>
      <c r="AB370">
        <f t="shared" si="53"/>
        <v>300</v>
      </c>
      <c r="AC370">
        <f t="shared" si="54"/>
        <v>0</v>
      </c>
      <c r="AD370">
        <f t="shared" si="55"/>
        <v>2500</v>
      </c>
      <c r="AE370">
        <f t="shared" si="56"/>
        <v>0</v>
      </c>
      <c r="AF370">
        <f t="shared" si="57"/>
        <v>0</v>
      </c>
      <c r="AG370">
        <f t="shared" si="58"/>
        <v>0</v>
      </c>
      <c r="AH370">
        <f t="shared" si="59"/>
        <v>0</v>
      </c>
    </row>
    <row r="371" spans="1:34" x14ac:dyDescent="0.35">
      <c r="A371" s="45" t="s">
        <v>27</v>
      </c>
      <c r="B371" s="45">
        <v>2019</v>
      </c>
      <c r="C371" s="45" t="s">
        <v>65</v>
      </c>
      <c r="D371" s="45" t="s">
        <v>46</v>
      </c>
      <c r="E371" s="55"/>
      <c r="F371" s="55"/>
      <c r="G371" s="55"/>
      <c r="H371" s="55"/>
      <c r="I371" s="55"/>
      <c r="J371" s="55"/>
      <c r="K371" s="55">
        <v>2500</v>
      </c>
      <c r="L371" s="55"/>
      <c r="M371" s="55"/>
      <c r="N371" s="55"/>
      <c r="O371" s="55">
        <v>500</v>
      </c>
      <c r="P371" s="55"/>
      <c r="Q371" s="55"/>
      <c r="R371" s="55"/>
      <c r="S371" s="55"/>
      <c r="T371" s="55"/>
      <c r="U371" s="55"/>
      <c r="V371" s="55">
        <v>10000</v>
      </c>
      <c r="W371" s="55"/>
      <c r="X371" s="55"/>
      <c r="Y371" s="55">
        <f t="shared" si="50"/>
        <v>0</v>
      </c>
      <c r="Z371">
        <f t="shared" si="51"/>
        <v>0</v>
      </c>
      <c r="AA371">
        <f t="shared" si="52"/>
        <v>0</v>
      </c>
      <c r="AB371">
        <f t="shared" si="53"/>
        <v>2500</v>
      </c>
      <c r="AC371">
        <f t="shared" si="54"/>
        <v>0</v>
      </c>
      <c r="AD371">
        <f t="shared" si="55"/>
        <v>500</v>
      </c>
      <c r="AE371">
        <f t="shared" si="56"/>
        <v>0</v>
      </c>
      <c r="AF371">
        <f t="shared" si="57"/>
        <v>0</v>
      </c>
      <c r="AG371">
        <f t="shared" si="58"/>
        <v>10000</v>
      </c>
      <c r="AH371">
        <f t="shared" si="59"/>
        <v>0</v>
      </c>
    </row>
    <row r="372" spans="1:34" ht="15.5" x14ac:dyDescent="0.35">
      <c r="A372" s="45" t="s">
        <v>27</v>
      </c>
      <c r="B372" s="45">
        <v>2020</v>
      </c>
      <c r="C372" s="45" t="s">
        <v>43</v>
      </c>
      <c r="D372" s="45" t="s">
        <v>139</v>
      </c>
      <c r="E372" s="55"/>
      <c r="F372" s="55"/>
      <c r="G372" s="55"/>
      <c r="H372" s="55"/>
      <c r="I372" s="55"/>
      <c r="J372" s="55">
        <v>500</v>
      </c>
      <c r="K372" s="55"/>
      <c r="L372" s="55"/>
      <c r="M372" s="55"/>
      <c r="N372" s="55"/>
      <c r="O372" s="55"/>
      <c r="P372" s="55"/>
      <c r="Q372" s="55"/>
      <c r="R372" s="55"/>
      <c r="S372" s="55">
        <v>2500</v>
      </c>
      <c r="T372" s="55"/>
      <c r="U372" s="55"/>
      <c r="V372" s="55"/>
      <c r="W372" s="59"/>
      <c r="X372" s="55">
        <v>1000</v>
      </c>
      <c r="Y372" s="55">
        <f t="shared" si="50"/>
        <v>0</v>
      </c>
      <c r="Z372">
        <f t="shared" si="51"/>
        <v>0</v>
      </c>
      <c r="AA372">
        <f t="shared" si="52"/>
        <v>500</v>
      </c>
      <c r="AB372">
        <f t="shared" si="53"/>
        <v>0</v>
      </c>
      <c r="AC372">
        <f t="shared" si="54"/>
        <v>0</v>
      </c>
      <c r="AD372">
        <f t="shared" si="55"/>
        <v>0</v>
      </c>
      <c r="AE372">
        <f t="shared" si="56"/>
        <v>0</v>
      </c>
      <c r="AF372">
        <f t="shared" si="57"/>
        <v>2500</v>
      </c>
      <c r="AG372">
        <f t="shared" si="58"/>
        <v>0</v>
      </c>
      <c r="AH372">
        <f t="shared" si="59"/>
        <v>1000</v>
      </c>
    </row>
    <row r="373" spans="1:34" ht="15.5" x14ac:dyDescent="0.35">
      <c r="A373" s="45" t="s">
        <v>27</v>
      </c>
      <c r="B373" s="45">
        <v>2020</v>
      </c>
      <c r="C373" s="45" t="s">
        <v>43</v>
      </c>
      <c r="D373" s="45" t="s">
        <v>139</v>
      </c>
      <c r="E373" s="55"/>
      <c r="F373" s="55"/>
      <c r="G373" s="55"/>
      <c r="H373" s="55"/>
      <c r="I373" s="55"/>
      <c r="J373" s="55"/>
      <c r="K373" s="55"/>
      <c r="L373" s="55"/>
      <c r="M373" s="55"/>
      <c r="N373" s="56">
        <v>34575</v>
      </c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>
        <f t="shared" si="50"/>
        <v>0</v>
      </c>
      <c r="Z373">
        <f t="shared" si="51"/>
        <v>0</v>
      </c>
      <c r="AA373">
        <f t="shared" si="52"/>
        <v>0</v>
      </c>
      <c r="AB373">
        <f t="shared" si="53"/>
        <v>0</v>
      </c>
      <c r="AC373">
        <f t="shared" si="54"/>
        <v>34575</v>
      </c>
      <c r="AD373">
        <f t="shared" si="55"/>
        <v>0</v>
      </c>
      <c r="AE373">
        <f t="shared" si="56"/>
        <v>0</v>
      </c>
      <c r="AF373">
        <f t="shared" si="57"/>
        <v>0</v>
      </c>
      <c r="AG373">
        <f t="shared" si="58"/>
        <v>0</v>
      </c>
      <c r="AH373">
        <f t="shared" si="59"/>
        <v>0</v>
      </c>
    </row>
    <row r="374" spans="1:34" ht="15.5" x14ac:dyDescent="0.35">
      <c r="A374" s="45" t="s">
        <v>27</v>
      </c>
      <c r="B374" s="45">
        <v>2020</v>
      </c>
      <c r="C374" s="45" t="s">
        <v>65</v>
      </c>
      <c r="D374" s="45" t="s">
        <v>69</v>
      </c>
      <c r="E374" s="55"/>
      <c r="F374" s="55"/>
      <c r="G374" s="55"/>
      <c r="H374" s="55"/>
      <c r="I374" s="55"/>
      <c r="J374" s="55"/>
      <c r="K374" s="55"/>
      <c r="L374" s="56">
        <v>24981.781999999999</v>
      </c>
      <c r="M374" s="55"/>
      <c r="N374" s="55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>
        <f t="shared" si="50"/>
        <v>0</v>
      </c>
      <c r="Z374">
        <f t="shared" si="51"/>
        <v>0</v>
      </c>
      <c r="AA374">
        <f t="shared" si="52"/>
        <v>0</v>
      </c>
      <c r="AB374">
        <f t="shared" si="53"/>
        <v>24981.781999999999</v>
      </c>
      <c r="AC374">
        <f t="shared" si="54"/>
        <v>0</v>
      </c>
      <c r="AD374">
        <f t="shared" si="55"/>
        <v>0</v>
      </c>
      <c r="AE374">
        <f t="shared" si="56"/>
        <v>0</v>
      </c>
      <c r="AF374">
        <f t="shared" si="57"/>
        <v>0</v>
      </c>
      <c r="AG374">
        <f t="shared" si="58"/>
        <v>0</v>
      </c>
      <c r="AH374">
        <f t="shared" si="59"/>
        <v>0</v>
      </c>
    </row>
    <row r="375" spans="1:34" ht="15.5" x14ac:dyDescent="0.35">
      <c r="A375" s="45" t="s">
        <v>27</v>
      </c>
      <c r="B375" s="45">
        <v>2020</v>
      </c>
      <c r="C375" s="45" t="s">
        <v>65</v>
      </c>
      <c r="D375" s="45" t="s">
        <v>140</v>
      </c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6">
        <v>8175</v>
      </c>
      <c r="U375" s="55"/>
      <c r="V375" s="55"/>
      <c r="W375" s="55"/>
      <c r="X375" s="55"/>
      <c r="Y375" s="55">
        <f t="shared" si="50"/>
        <v>0</v>
      </c>
      <c r="Z375">
        <f t="shared" si="51"/>
        <v>0</v>
      </c>
      <c r="AA375">
        <f t="shared" si="52"/>
        <v>0</v>
      </c>
      <c r="AB375">
        <f t="shared" si="53"/>
        <v>0</v>
      </c>
      <c r="AC375">
        <f t="shared" si="54"/>
        <v>0</v>
      </c>
      <c r="AD375">
        <f t="shared" si="55"/>
        <v>0</v>
      </c>
      <c r="AE375">
        <f t="shared" si="56"/>
        <v>0</v>
      </c>
      <c r="AF375">
        <f t="shared" si="57"/>
        <v>8175</v>
      </c>
      <c r="AG375">
        <f t="shared" si="58"/>
        <v>0</v>
      </c>
      <c r="AH375">
        <f t="shared" si="59"/>
        <v>0</v>
      </c>
    </row>
    <row r="376" spans="1:34" ht="15.5" x14ac:dyDescent="0.35">
      <c r="A376" s="45" t="s">
        <v>27</v>
      </c>
      <c r="B376" s="45">
        <v>2020</v>
      </c>
      <c r="C376" s="45" t="s">
        <v>43</v>
      </c>
      <c r="D376" s="45" t="s">
        <v>141</v>
      </c>
      <c r="E376" s="55"/>
      <c r="F376" s="56">
        <v>3000</v>
      </c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>
        <f t="shared" si="50"/>
        <v>3000</v>
      </c>
      <c r="Z376">
        <f t="shared" si="51"/>
        <v>0</v>
      </c>
      <c r="AA376">
        <f t="shared" si="52"/>
        <v>0</v>
      </c>
      <c r="AB376">
        <f t="shared" si="53"/>
        <v>0</v>
      </c>
      <c r="AC376">
        <f t="shared" si="54"/>
        <v>0</v>
      </c>
      <c r="AD376">
        <f t="shared" si="55"/>
        <v>0</v>
      </c>
      <c r="AE376">
        <f t="shared" si="56"/>
        <v>0</v>
      </c>
      <c r="AF376">
        <f t="shared" si="57"/>
        <v>0</v>
      </c>
      <c r="AG376">
        <f t="shared" si="58"/>
        <v>0</v>
      </c>
      <c r="AH376">
        <f t="shared" si="59"/>
        <v>0</v>
      </c>
    </row>
    <row r="377" spans="1:34" ht="15.5" x14ac:dyDescent="0.35">
      <c r="A377" s="45" t="s">
        <v>27</v>
      </c>
      <c r="B377" s="45">
        <v>2020</v>
      </c>
      <c r="C377" s="45" t="s">
        <v>43</v>
      </c>
      <c r="D377" s="45" t="s">
        <v>69</v>
      </c>
      <c r="E377" s="55"/>
      <c r="F377" s="55">
        <v>2000</v>
      </c>
      <c r="G377" s="55">
        <v>1500</v>
      </c>
      <c r="H377" s="55"/>
      <c r="I377" s="55">
        <v>300</v>
      </c>
      <c r="J377" s="55"/>
      <c r="K377" s="55">
        <v>500</v>
      </c>
      <c r="L377" s="55"/>
      <c r="M377" s="55"/>
      <c r="N377" s="56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>
        <f t="shared" si="50"/>
        <v>2000</v>
      </c>
      <c r="Z377">
        <f t="shared" si="51"/>
        <v>1500</v>
      </c>
      <c r="AA377">
        <f t="shared" si="52"/>
        <v>300</v>
      </c>
      <c r="AB377">
        <f t="shared" si="53"/>
        <v>500</v>
      </c>
      <c r="AC377">
        <f t="shared" si="54"/>
        <v>0</v>
      </c>
      <c r="AD377">
        <f t="shared" si="55"/>
        <v>0</v>
      </c>
      <c r="AE377">
        <f t="shared" si="56"/>
        <v>0</v>
      </c>
      <c r="AF377">
        <f t="shared" si="57"/>
        <v>0</v>
      </c>
      <c r="AG377">
        <f t="shared" si="58"/>
        <v>0</v>
      </c>
      <c r="AH377">
        <f t="shared" si="59"/>
        <v>0</v>
      </c>
    </row>
    <row r="378" spans="1:34" ht="15.5" x14ac:dyDescent="0.35">
      <c r="A378" s="45" t="s">
        <v>27</v>
      </c>
      <c r="B378" s="45">
        <v>2020</v>
      </c>
      <c r="C378" s="45" t="s">
        <v>65</v>
      </c>
      <c r="D378" s="45" t="s">
        <v>142</v>
      </c>
      <c r="E378" s="55">
        <v>1500</v>
      </c>
      <c r="F378" s="55"/>
      <c r="G378" s="55"/>
      <c r="H378" s="55">
        <v>2000</v>
      </c>
      <c r="I378" s="55"/>
      <c r="J378" s="55"/>
      <c r="K378" s="55">
        <v>300</v>
      </c>
      <c r="L378" s="56"/>
      <c r="M378" s="55"/>
      <c r="N378" s="55"/>
      <c r="O378" s="55"/>
      <c r="P378" s="55"/>
      <c r="Q378" s="55"/>
      <c r="R378" s="55">
        <v>300</v>
      </c>
      <c r="S378" s="55"/>
      <c r="T378" s="55"/>
      <c r="U378" s="55"/>
      <c r="V378" s="55"/>
      <c r="W378" s="55"/>
      <c r="X378" s="55"/>
      <c r="Y378" s="55">
        <f t="shared" si="50"/>
        <v>1500</v>
      </c>
      <c r="Z378">
        <f t="shared" si="51"/>
        <v>2000</v>
      </c>
      <c r="AA378">
        <f t="shared" si="52"/>
        <v>0</v>
      </c>
      <c r="AB378">
        <f t="shared" si="53"/>
        <v>300</v>
      </c>
      <c r="AC378">
        <f t="shared" si="54"/>
        <v>0</v>
      </c>
      <c r="AD378">
        <f t="shared" si="55"/>
        <v>0</v>
      </c>
      <c r="AE378">
        <f t="shared" si="56"/>
        <v>300</v>
      </c>
      <c r="AF378">
        <f t="shared" si="57"/>
        <v>0</v>
      </c>
      <c r="AG378">
        <f t="shared" si="58"/>
        <v>0</v>
      </c>
      <c r="AH378">
        <f t="shared" si="59"/>
        <v>0</v>
      </c>
    </row>
    <row r="379" spans="1:34" ht="15.5" x14ac:dyDescent="0.35">
      <c r="A379" s="45" t="s">
        <v>27</v>
      </c>
      <c r="B379" s="45">
        <v>2021</v>
      </c>
      <c r="C379" s="45" t="s">
        <v>65</v>
      </c>
      <c r="D379" s="45" t="s">
        <v>44</v>
      </c>
      <c r="E379" s="55"/>
      <c r="F379" s="55"/>
      <c r="G379" s="55"/>
      <c r="H379" s="55"/>
      <c r="I379" s="55"/>
      <c r="J379" s="55"/>
      <c r="K379" s="55"/>
      <c r="L379" s="55"/>
      <c r="M379" s="55"/>
      <c r="N379" s="57"/>
      <c r="O379" s="55"/>
      <c r="P379" s="55"/>
      <c r="Q379" s="55">
        <v>2500</v>
      </c>
      <c r="R379" s="55"/>
      <c r="S379" s="55"/>
      <c r="T379" s="55"/>
      <c r="U379" s="55"/>
      <c r="V379" s="55">
        <v>208</v>
      </c>
      <c r="W379" s="55"/>
      <c r="X379" s="55"/>
      <c r="Y379" s="55">
        <f t="shared" si="50"/>
        <v>0</v>
      </c>
      <c r="Z379">
        <f t="shared" si="51"/>
        <v>0</v>
      </c>
      <c r="AA379">
        <f t="shared" si="52"/>
        <v>0</v>
      </c>
      <c r="AB379">
        <f t="shared" si="53"/>
        <v>0</v>
      </c>
      <c r="AC379">
        <f t="shared" si="54"/>
        <v>0</v>
      </c>
      <c r="AD379">
        <f t="shared" si="55"/>
        <v>0</v>
      </c>
      <c r="AE379">
        <f t="shared" si="56"/>
        <v>2500</v>
      </c>
      <c r="AF379">
        <f t="shared" si="57"/>
        <v>0</v>
      </c>
      <c r="AG379">
        <f t="shared" si="58"/>
        <v>208</v>
      </c>
      <c r="AH379">
        <f t="shared" si="59"/>
        <v>0</v>
      </c>
    </row>
    <row r="380" spans="1:34" ht="15.5" x14ac:dyDescent="0.35">
      <c r="A380" s="45" t="s">
        <v>27</v>
      </c>
      <c r="B380" s="45">
        <v>2021</v>
      </c>
      <c r="C380" s="45" t="s">
        <v>43</v>
      </c>
      <c r="D380" s="45" t="s">
        <v>45</v>
      </c>
      <c r="E380" s="55"/>
      <c r="F380" s="55"/>
      <c r="G380" s="55"/>
      <c r="H380" s="55"/>
      <c r="I380" s="55"/>
      <c r="J380" s="55">
        <v>1000</v>
      </c>
      <c r="K380" s="55">
        <v>12000</v>
      </c>
      <c r="L380" s="58"/>
      <c r="M380" s="55">
        <v>10000</v>
      </c>
      <c r="N380" s="55"/>
      <c r="O380" s="55"/>
      <c r="P380" s="55">
        <v>500</v>
      </c>
      <c r="Q380" s="55"/>
      <c r="R380" s="55"/>
      <c r="S380" s="55"/>
      <c r="T380" s="55"/>
      <c r="U380" s="55"/>
      <c r="V380" s="55"/>
      <c r="W380" s="55">
        <v>510</v>
      </c>
      <c r="X380" s="55"/>
      <c r="Y380" s="55">
        <f t="shared" si="50"/>
        <v>0</v>
      </c>
      <c r="Z380">
        <f t="shared" si="51"/>
        <v>0</v>
      </c>
      <c r="AA380">
        <f t="shared" si="52"/>
        <v>1000</v>
      </c>
      <c r="AB380">
        <f t="shared" si="53"/>
        <v>12000</v>
      </c>
      <c r="AC380">
        <f t="shared" si="54"/>
        <v>10000</v>
      </c>
      <c r="AD380">
        <f t="shared" si="55"/>
        <v>500</v>
      </c>
      <c r="AE380">
        <f t="shared" si="56"/>
        <v>0</v>
      </c>
      <c r="AF380">
        <f t="shared" si="57"/>
        <v>0</v>
      </c>
      <c r="AG380">
        <f t="shared" si="58"/>
        <v>0</v>
      </c>
      <c r="AH380">
        <f t="shared" si="59"/>
        <v>510</v>
      </c>
    </row>
    <row r="381" spans="1:34" ht="15.5" x14ac:dyDescent="0.35">
      <c r="A381" s="45" t="s">
        <v>27</v>
      </c>
      <c r="B381" s="45">
        <v>2021</v>
      </c>
      <c r="C381" s="45" t="s">
        <v>43</v>
      </c>
      <c r="D381" s="45" t="s">
        <v>44</v>
      </c>
      <c r="E381" s="55"/>
      <c r="F381" s="55"/>
      <c r="G381" s="55"/>
      <c r="H381" s="55"/>
      <c r="I381" s="55">
        <v>700</v>
      </c>
      <c r="J381" s="55"/>
      <c r="K381" s="55"/>
      <c r="L381" s="55">
        <v>200</v>
      </c>
      <c r="M381" s="55"/>
      <c r="N381" s="59"/>
      <c r="O381" s="55">
        <v>1000</v>
      </c>
      <c r="P381" s="55"/>
      <c r="Q381" s="55"/>
      <c r="R381" s="55"/>
      <c r="S381" s="55"/>
      <c r="T381" s="55"/>
      <c r="U381" s="55"/>
      <c r="V381" s="55"/>
      <c r="W381" s="55"/>
      <c r="X381" s="55"/>
      <c r="Y381" s="55">
        <f t="shared" si="50"/>
        <v>0</v>
      </c>
      <c r="Z381">
        <f t="shared" si="51"/>
        <v>0</v>
      </c>
      <c r="AA381">
        <f t="shared" si="52"/>
        <v>700</v>
      </c>
      <c r="AB381">
        <f t="shared" si="53"/>
        <v>200</v>
      </c>
      <c r="AC381">
        <f t="shared" si="54"/>
        <v>0</v>
      </c>
      <c r="AD381">
        <f t="shared" si="55"/>
        <v>1000</v>
      </c>
      <c r="AE381">
        <f t="shared" si="56"/>
        <v>0</v>
      </c>
      <c r="AF381">
        <f t="shared" si="57"/>
        <v>0</v>
      </c>
      <c r="AG381">
        <f t="shared" si="58"/>
        <v>0</v>
      </c>
      <c r="AH381">
        <f t="shared" si="59"/>
        <v>0</v>
      </c>
    </row>
    <row r="382" spans="1:34" ht="15.5" x14ac:dyDescent="0.35">
      <c r="A382" s="45" t="s">
        <v>27</v>
      </c>
      <c r="B382" s="45">
        <v>2021</v>
      </c>
      <c r="C382" s="45" t="s">
        <v>65</v>
      </c>
      <c r="D382" s="45" t="s">
        <v>45</v>
      </c>
      <c r="E382" s="55"/>
      <c r="F382" s="55"/>
      <c r="G382" s="55"/>
      <c r="H382" s="55"/>
      <c r="I382" s="55"/>
      <c r="J382" s="55"/>
      <c r="K382" s="55"/>
      <c r="L382" s="59"/>
      <c r="M382" s="55"/>
      <c r="N382" s="55">
        <v>50</v>
      </c>
      <c r="O382" s="55"/>
      <c r="P382" s="55"/>
      <c r="Q382" s="55"/>
      <c r="R382" s="55"/>
      <c r="S382" s="55"/>
      <c r="T382" s="55">
        <v>500</v>
      </c>
      <c r="U382" s="55"/>
      <c r="V382" s="55"/>
      <c r="W382" s="55"/>
      <c r="X382" s="55"/>
      <c r="Y382" s="55">
        <f t="shared" si="50"/>
        <v>0</v>
      </c>
      <c r="Z382">
        <f t="shared" si="51"/>
        <v>0</v>
      </c>
      <c r="AA382">
        <f t="shared" si="52"/>
        <v>0</v>
      </c>
      <c r="AB382">
        <f t="shared" si="53"/>
        <v>0</v>
      </c>
      <c r="AC382">
        <f t="shared" si="54"/>
        <v>50</v>
      </c>
      <c r="AD382">
        <f t="shared" si="55"/>
        <v>0</v>
      </c>
      <c r="AE382">
        <f t="shared" si="56"/>
        <v>0</v>
      </c>
      <c r="AF382">
        <f t="shared" si="57"/>
        <v>500</v>
      </c>
      <c r="AG382">
        <f t="shared" si="58"/>
        <v>0</v>
      </c>
      <c r="AH382">
        <f t="shared" si="59"/>
        <v>0</v>
      </c>
    </row>
    <row r="383" spans="1:34" ht="15.5" x14ac:dyDescent="0.35">
      <c r="A383" s="45" t="s">
        <v>27</v>
      </c>
      <c r="B383" s="45">
        <v>2021</v>
      </c>
      <c r="C383" s="45" t="s">
        <v>65</v>
      </c>
      <c r="D383" s="45" t="s">
        <v>44</v>
      </c>
      <c r="E383" s="55"/>
      <c r="F383" s="56">
        <v>34575</v>
      </c>
      <c r="G383" s="55"/>
      <c r="H383" s="55"/>
      <c r="I383" s="55"/>
      <c r="J383" s="55"/>
      <c r="K383" s="55"/>
      <c r="L383" s="55"/>
      <c r="M383" s="55"/>
      <c r="N383" s="59"/>
      <c r="O383" s="55"/>
      <c r="P383" s="55"/>
      <c r="Q383" s="55"/>
      <c r="R383" s="55"/>
      <c r="S383" s="55"/>
      <c r="T383" s="55"/>
      <c r="U383" s="55"/>
      <c r="V383" s="55"/>
      <c r="W383" s="55"/>
      <c r="X383" s="55"/>
      <c r="Y383" s="55">
        <f t="shared" si="50"/>
        <v>34575</v>
      </c>
      <c r="Z383">
        <f t="shared" si="51"/>
        <v>0</v>
      </c>
      <c r="AA383">
        <f t="shared" si="52"/>
        <v>0</v>
      </c>
      <c r="AB383">
        <f t="shared" si="53"/>
        <v>0</v>
      </c>
      <c r="AC383">
        <f t="shared" si="54"/>
        <v>0</v>
      </c>
      <c r="AD383">
        <f t="shared" si="55"/>
        <v>0</v>
      </c>
      <c r="AE383">
        <f t="shared" si="56"/>
        <v>0</v>
      </c>
      <c r="AF383">
        <f t="shared" si="57"/>
        <v>0</v>
      </c>
      <c r="AG383">
        <f t="shared" si="58"/>
        <v>0</v>
      </c>
      <c r="AH383">
        <f t="shared" si="59"/>
        <v>0</v>
      </c>
    </row>
    <row r="384" spans="1:34" ht="15.5" x14ac:dyDescent="0.35">
      <c r="A384" s="45" t="s">
        <v>27</v>
      </c>
      <c r="B384" s="45">
        <v>2021</v>
      </c>
      <c r="C384" s="45" t="s">
        <v>43</v>
      </c>
      <c r="D384" s="45" t="s">
        <v>45</v>
      </c>
      <c r="E384" s="55"/>
      <c r="F384" s="55"/>
      <c r="G384" s="55"/>
      <c r="H384" s="55"/>
      <c r="I384" s="55"/>
      <c r="J384" s="55"/>
      <c r="K384" s="55"/>
      <c r="L384" s="55"/>
      <c r="M384" s="55"/>
      <c r="N384" s="59"/>
      <c r="O384" s="55"/>
      <c r="P384" s="55"/>
      <c r="Q384" s="55"/>
      <c r="R384" s="55">
        <v>100</v>
      </c>
      <c r="S384" s="55"/>
      <c r="T384" s="55"/>
      <c r="U384" s="55"/>
      <c r="V384" s="55"/>
      <c r="W384" s="55"/>
      <c r="X384" s="55"/>
      <c r="Y384" s="55">
        <f t="shared" si="50"/>
        <v>0</v>
      </c>
      <c r="Z384">
        <f t="shared" si="51"/>
        <v>0</v>
      </c>
      <c r="AA384">
        <f t="shared" si="52"/>
        <v>0</v>
      </c>
      <c r="AB384">
        <f t="shared" si="53"/>
        <v>0</v>
      </c>
      <c r="AC384">
        <f t="shared" si="54"/>
        <v>0</v>
      </c>
      <c r="AD384">
        <f t="shared" si="55"/>
        <v>0</v>
      </c>
      <c r="AE384">
        <f t="shared" si="56"/>
        <v>100</v>
      </c>
      <c r="AF384">
        <f t="shared" si="57"/>
        <v>0</v>
      </c>
      <c r="AG384">
        <f t="shared" si="58"/>
        <v>0</v>
      </c>
      <c r="AH384">
        <f t="shared" si="59"/>
        <v>0</v>
      </c>
    </row>
    <row r="385" spans="1:34" ht="15.5" x14ac:dyDescent="0.35">
      <c r="A385" s="45" t="s">
        <v>27</v>
      </c>
      <c r="B385" s="45">
        <v>2021</v>
      </c>
      <c r="C385" s="45" t="s">
        <v>43</v>
      </c>
      <c r="D385" s="45" t="s">
        <v>46</v>
      </c>
      <c r="E385" s="55"/>
      <c r="F385" s="55"/>
      <c r="G385" s="55"/>
      <c r="H385" s="55"/>
      <c r="I385" s="55"/>
      <c r="J385" s="55"/>
      <c r="K385" s="55"/>
      <c r="L385" s="59"/>
      <c r="M385" s="55"/>
      <c r="N385" s="55"/>
      <c r="O385" s="55"/>
      <c r="P385" s="55"/>
      <c r="Q385" s="55"/>
      <c r="R385" s="55"/>
      <c r="S385" s="55"/>
      <c r="T385" s="55"/>
      <c r="U385" s="55"/>
      <c r="V385" s="55"/>
      <c r="W385" s="55"/>
      <c r="X385" s="55"/>
      <c r="Y385" s="55">
        <f t="shared" si="50"/>
        <v>0</v>
      </c>
      <c r="Z385">
        <f t="shared" si="51"/>
        <v>0</v>
      </c>
      <c r="AA385">
        <f t="shared" si="52"/>
        <v>0</v>
      </c>
      <c r="AB385">
        <f t="shared" si="53"/>
        <v>0</v>
      </c>
      <c r="AC385">
        <f t="shared" si="54"/>
        <v>0</v>
      </c>
      <c r="AD385">
        <f t="shared" si="55"/>
        <v>0</v>
      </c>
      <c r="AE385">
        <f t="shared" si="56"/>
        <v>0</v>
      </c>
      <c r="AF385">
        <f t="shared" si="57"/>
        <v>0</v>
      </c>
      <c r="AG385">
        <f t="shared" si="58"/>
        <v>0</v>
      </c>
      <c r="AH385">
        <f t="shared" si="59"/>
        <v>0</v>
      </c>
    </row>
    <row r="386" spans="1:34" ht="15.5" x14ac:dyDescent="0.35">
      <c r="A386" s="45" t="s">
        <v>27</v>
      </c>
      <c r="B386" s="45">
        <v>2021</v>
      </c>
      <c r="C386" s="45" t="s">
        <v>65</v>
      </c>
      <c r="D386" s="45" t="s">
        <v>46</v>
      </c>
      <c r="E386" s="55"/>
      <c r="F386" s="55"/>
      <c r="G386" s="55">
        <v>1000</v>
      </c>
      <c r="H386" s="56"/>
      <c r="I386" s="55"/>
      <c r="J386" s="55"/>
      <c r="K386" s="55"/>
      <c r="L386" s="55"/>
      <c r="M386" s="55"/>
      <c r="N386" s="57"/>
      <c r="O386" s="55"/>
      <c r="P386" s="55"/>
      <c r="Q386" s="55">
        <v>2500</v>
      </c>
      <c r="R386" s="55"/>
      <c r="S386" s="55">
        <v>200</v>
      </c>
      <c r="T386" s="55">
        <v>1000</v>
      </c>
      <c r="U386" s="55"/>
      <c r="V386" s="55"/>
      <c r="W386" s="55"/>
      <c r="X386" s="55"/>
      <c r="Y386" s="55">
        <f t="shared" si="50"/>
        <v>0</v>
      </c>
      <c r="Z386">
        <f t="shared" si="51"/>
        <v>1000</v>
      </c>
      <c r="AA386">
        <f t="shared" si="52"/>
        <v>0</v>
      </c>
      <c r="AB386">
        <f t="shared" si="53"/>
        <v>0</v>
      </c>
      <c r="AC386">
        <f t="shared" si="54"/>
        <v>0</v>
      </c>
      <c r="AD386">
        <f t="shared" si="55"/>
        <v>0</v>
      </c>
      <c r="AE386">
        <f t="shared" si="56"/>
        <v>2500</v>
      </c>
      <c r="AF386">
        <f t="shared" si="57"/>
        <v>1200</v>
      </c>
      <c r="AG386">
        <f t="shared" si="58"/>
        <v>0</v>
      </c>
      <c r="AH386">
        <f t="shared" si="59"/>
        <v>0</v>
      </c>
    </row>
    <row r="387" spans="1:34" ht="15.5" x14ac:dyDescent="0.35">
      <c r="A387" s="45" t="s">
        <v>27</v>
      </c>
      <c r="B387" s="45">
        <v>2021</v>
      </c>
      <c r="C387" s="45" t="s">
        <v>65</v>
      </c>
      <c r="D387" s="45" t="s">
        <v>139</v>
      </c>
      <c r="E387" s="55"/>
      <c r="F387" s="56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>
        <v>2000</v>
      </c>
      <c r="U387" s="55">
        <v>1500</v>
      </c>
      <c r="V387" s="55"/>
      <c r="W387" s="55">
        <v>300</v>
      </c>
      <c r="X387" s="55"/>
      <c r="Y387" s="55">
        <f t="shared" si="50"/>
        <v>0</v>
      </c>
      <c r="Z387">
        <f t="shared" si="51"/>
        <v>0</v>
      </c>
      <c r="AA387">
        <f t="shared" si="52"/>
        <v>0</v>
      </c>
      <c r="AB387">
        <f t="shared" si="53"/>
        <v>0</v>
      </c>
      <c r="AC387">
        <f t="shared" si="54"/>
        <v>0</v>
      </c>
      <c r="AD387">
        <f t="shared" si="55"/>
        <v>0</v>
      </c>
      <c r="AE387">
        <f t="shared" si="56"/>
        <v>0</v>
      </c>
      <c r="AF387">
        <f t="shared" si="57"/>
        <v>2000</v>
      </c>
      <c r="AG387">
        <f t="shared" si="58"/>
        <v>1500</v>
      </c>
      <c r="AH387">
        <f t="shared" si="59"/>
        <v>300</v>
      </c>
    </row>
    <row r="388" spans="1:34" ht="15.5" x14ac:dyDescent="0.35">
      <c r="A388" s="45" t="s">
        <v>27</v>
      </c>
      <c r="B388" s="45">
        <v>2021</v>
      </c>
      <c r="C388" s="45" t="s">
        <v>43</v>
      </c>
      <c r="D388" s="45" t="s">
        <v>139</v>
      </c>
      <c r="E388" s="55"/>
      <c r="F388" s="55"/>
      <c r="G388" s="55"/>
      <c r="H388" s="55"/>
      <c r="I388" s="55"/>
      <c r="J388" s="55">
        <v>300</v>
      </c>
      <c r="K388" s="55"/>
      <c r="L388" s="55"/>
      <c r="M388" s="55"/>
      <c r="N388" s="59"/>
      <c r="O388" s="56">
        <v>8175</v>
      </c>
      <c r="P388" s="55"/>
      <c r="Q388" s="55"/>
      <c r="R388" s="55"/>
      <c r="S388" s="55">
        <v>1500</v>
      </c>
      <c r="T388" s="55"/>
      <c r="U388" s="55"/>
      <c r="V388" s="55">
        <v>2000</v>
      </c>
      <c r="W388" s="55"/>
      <c r="X388" s="55"/>
      <c r="Y388" s="55">
        <f t="shared" si="50"/>
        <v>0</v>
      </c>
      <c r="Z388">
        <f t="shared" si="51"/>
        <v>0</v>
      </c>
      <c r="AA388">
        <f t="shared" si="52"/>
        <v>300</v>
      </c>
      <c r="AB388">
        <f t="shared" si="53"/>
        <v>0</v>
      </c>
      <c r="AC388">
        <f t="shared" si="54"/>
        <v>0</v>
      </c>
      <c r="AD388">
        <f t="shared" si="55"/>
        <v>8175</v>
      </c>
      <c r="AE388">
        <f t="shared" si="56"/>
        <v>0</v>
      </c>
      <c r="AF388">
        <f t="shared" si="57"/>
        <v>1500</v>
      </c>
      <c r="AG388">
        <f t="shared" si="58"/>
        <v>2000</v>
      </c>
      <c r="AH388">
        <f t="shared" si="59"/>
        <v>0</v>
      </c>
    </row>
    <row r="389" spans="1:34" ht="15.5" x14ac:dyDescent="0.35">
      <c r="A389" s="45" t="s">
        <v>27</v>
      </c>
      <c r="B389" s="45">
        <v>2021</v>
      </c>
      <c r="C389" s="45" t="s">
        <v>43</v>
      </c>
      <c r="D389" s="45" t="s">
        <v>69</v>
      </c>
      <c r="E389" s="55"/>
      <c r="F389" s="57"/>
      <c r="G389" s="55"/>
      <c r="H389" s="55"/>
      <c r="I389" s="55">
        <v>2500</v>
      </c>
      <c r="J389" s="55"/>
      <c r="K389" s="55"/>
      <c r="L389" s="55"/>
      <c r="M389" s="55"/>
      <c r="N389" s="59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>
        <f t="shared" ref="Y389:Y452" si="60">SUM(E389:F389)</f>
        <v>0</v>
      </c>
      <c r="Z389">
        <f t="shared" ref="Z389:Z452" si="61">SUM(G389:H389)</f>
        <v>0</v>
      </c>
      <c r="AA389">
        <f t="shared" ref="AA389:AA452" si="62">SUM(I389:J389)</f>
        <v>2500</v>
      </c>
      <c r="AB389">
        <f t="shared" ref="AB389:AB452" si="63">SUM(K389:L389)</f>
        <v>0</v>
      </c>
      <c r="AC389">
        <f t="shared" ref="AC389:AC452" si="64">SUM(M389:N389)</f>
        <v>0</v>
      </c>
      <c r="AD389">
        <f t="shared" ref="AD389:AD452" si="65">SUM(O389:P389)</f>
        <v>0</v>
      </c>
      <c r="AE389">
        <f t="shared" ref="AE389:AE452" si="66">SUM(Q389:R389)</f>
        <v>0</v>
      </c>
      <c r="AF389">
        <f t="shared" ref="AF389:AF452" si="67">SUM(S389:T389)</f>
        <v>0</v>
      </c>
      <c r="AG389">
        <f t="shared" ref="AG389:AG452" si="68">SUM(U389:V389)</f>
        <v>0</v>
      </c>
      <c r="AH389">
        <f t="shared" ref="AH389:AH452" si="69">SUM(W389:X389)</f>
        <v>0</v>
      </c>
    </row>
    <row r="390" spans="1:34" ht="15.5" x14ac:dyDescent="0.35">
      <c r="A390" s="45" t="s">
        <v>27</v>
      </c>
      <c r="B390" s="45">
        <v>2021</v>
      </c>
      <c r="C390" s="45" t="s">
        <v>65</v>
      </c>
      <c r="D390" s="45" t="s">
        <v>140</v>
      </c>
      <c r="E390" s="55">
        <v>10000</v>
      </c>
      <c r="F390" s="55"/>
      <c r="G390" s="55"/>
      <c r="H390" s="55">
        <v>500</v>
      </c>
      <c r="I390" s="55"/>
      <c r="J390" s="55"/>
      <c r="K390" s="55">
        <v>12000</v>
      </c>
      <c r="L390" s="58"/>
      <c r="M390" s="55">
        <v>10000</v>
      </c>
      <c r="N390" s="55"/>
      <c r="O390" s="55"/>
      <c r="P390" s="55">
        <v>600</v>
      </c>
      <c r="Q390" s="55"/>
      <c r="R390" s="55"/>
      <c r="S390" s="55"/>
      <c r="T390" s="55"/>
      <c r="U390" s="55"/>
      <c r="V390" s="55"/>
      <c r="W390" s="55"/>
      <c r="X390" s="55">
        <v>1000</v>
      </c>
      <c r="Y390" s="55">
        <f t="shared" si="60"/>
        <v>10000</v>
      </c>
      <c r="Z390">
        <f t="shared" si="61"/>
        <v>500</v>
      </c>
      <c r="AA390">
        <f t="shared" si="62"/>
        <v>0</v>
      </c>
      <c r="AB390">
        <f t="shared" si="63"/>
        <v>12000</v>
      </c>
      <c r="AC390">
        <f t="shared" si="64"/>
        <v>10000</v>
      </c>
      <c r="AD390">
        <f t="shared" si="65"/>
        <v>600</v>
      </c>
      <c r="AE390">
        <f t="shared" si="66"/>
        <v>0</v>
      </c>
      <c r="AF390">
        <f t="shared" si="67"/>
        <v>0</v>
      </c>
      <c r="AG390">
        <f t="shared" si="68"/>
        <v>0</v>
      </c>
      <c r="AH390">
        <f t="shared" si="69"/>
        <v>1000</v>
      </c>
    </row>
    <row r="391" spans="1:34" ht="15.5" x14ac:dyDescent="0.35">
      <c r="A391" s="45" t="s">
        <v>27</v>
      </c>
      <c r="B391" s="45">
        <v>2021</v>
      </c>
      <c r="C391" s="45" t="s">
        <v>65</v>
      </c>
      <c r="D391" s="45" t="s">
        <v>141</v>
      </c>
      <c r="E391" s="55"/>
      <c r="F391" s="59"/>
      <c r="G391" s="55">
        <v>1000</v>
      </c>
      <c r="H391" s="55"/>
      <c r="I391" s="55"/>
      <c r="J391" s="55"/>
      <c r="K391" s="55"/>
      <c r="L391" s="55">
        <v>200</v>
      </c>
      <c r="M391" s="55"/>
      <c r="N391" s="59"/>
      <c r="O391" s="55"/>
      <c r="P391" s="55"/>
      <c r="Q391" s="55"/>
      <c r="R391" s="55"/>
      <c r="S391" s="55"/>
      <c r="T391" s="55"/>
      <c r="U391" s="55"/>
      <c r="V391" s="55"/>
      <c r="W391" s="55">
        <v>700</v>
      </c>
      <c r="X391" s="55"/>
      <c r="Y391" s="55">
        <f t="shared" si="60"/>
        <v>0</v>
      </c>
      <c r="Z391">
        <f t="shared" si="61"/>
        <v>1000</v>
      </c>
      <c r="AA391">
        <f t="shared" si="62"/>
        <v>0</v>
      </c>
      <c r="AB391">
        <f t="shared" si="63"/>
        <v>200</v>
      </c>
      <c r="AC391">
        <f t="shared" si="64"/>
        <v>0</v>
      </c>
      <c r="AD391">
        <f t="shared" si="65"/>
        <v>0</v>
      </c>
      <c r="AE391">
        <f t="shared" si="66"/>
        <v>0</v>
      </c>
      <c r="AF391">
        <f t="shared" si="67"/>
        <v>0</v>
      </c>
      <c r="AG391">
        <f t="shared" si="68"/>
        <v>0</v>
      </c>
      <c r="AH391">
        <f t="shared" si="69"/>
        <v>700</v>
      </c>
    </row>
    <row r="392" spans="1:34" ht="15.5" x14ac:dyDescent="0.35">
      <c r="A392" s="45" t="s">
        <v>27</v>
      </c>
      <c r="B392" s="45">
        <v>2021</v>
      </c>
      <c r="C392" s="45" t="s">
        <v>43</v>
      </c>
      <c r="D392" s="45" t="s">
        <v>69</v>
      </c>
      <c r="E392" s="55"/>
      <c r="F392" s="55">
        <v>50</v>
      </c>
      <c r="G392" s="55"/>
      <c r="H392" s="55"/>
      <c r="I392" s="55"/>
      <c r="J392" s="55"/>
      <c r="K392" s="55"/>
      <c r="L392" s="59"/>
      <c r="M392" s="55"/>
      <c r="N392" s="59"/>
      <c r="O392" s="55"/>
      <c r="P392" s="55"/>
      <c r="Q392" s="55">
        <v>208</v>
      </c>
      <c r="R392" s="55"/>
      <c r="S392" s="55"/>
      <c r="T392" s="55"/>
      <c r="U392" s="55"/>
      <c r="V392" s="55"/>
      <c r="W392" s="55"/>
      <c r="X392" s="55"/>
      <c r="Y392" s="55">
        <f t="shared" si="60"/>
        <v>50</v>
      </c>
      <c r="Z392">
        <f t="shared" si="61"/>
        <v>0</v>
      </c>
      <c r="AA392">
        <f t="shared" si="62"/>
        <v>0</v>
      </c>
      <c r="AB392">
        <f t="shared" si="63"/>
        <v>0</v>
      </c>
      <c r="AC392">
        <f t="shared" si="64"/>
        <v>0</v>
      </c>
      <c r="AD392">
        <f t="shared" si="65"/>
        <v>0</v>
      </c>
      <c r="AE392">
        <f t="shared" si="66"/>
        <v>208</v>
      </c>
      <c r="AF392">
        <f t="shared" si="67"/>
        <v>0</v>
      </c>
      <c r="AG392">
        <f t="shared" si="68"/>
        <v>0</v>
      </c>
      <c r="AH392">
        <f t="shared" si="69"/>
        <v>0</v>
      </c>
    </row>
    <row r="393" spans="1:34" ht="15.5" x14ac:dyDescent="0.35">
      <c r="A393" s="45" t="s">
        <v>27</v>
      </c>
      <c r="B393" s="45">
        <v>2021</v>
      </c>
      <c r="C393" s="45" t="s">
        <v>43</v>
      </c>
      <c r="D393" s="45" t="s">
        <v>142</v>
      </c>
      <c r="E393" s="55"/>
      <c r="F393" s="59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>
        <v>510</v>
      </c>
      <c r="S393" s="55"/>
      <c r="T393" s="55"/>
      <c r="U393" s="55"/>
      <c r="V393" s="55"/>
      <c r="W393" s="55"/>
      <c r="X393" s="55">
        <v>88</v>
      </c>
      <c r="Y393" s="55">
        <f t="shared" si="60"/>
        <v>0</v>
      </c>
      <c r="Z393">
        <f t="shared" si="61"/>
        <v>0</v>
      </c>
      <c r="AA393">
        <f t="shared" si="62"/>
        <v>0</v>
      </c>
      <c r="AB393">
        <f t="shared" si="63"/>
        <v>0</v>
      </c>
      <c r="AC393">
        <f t="shared" si="64"/>
        <v>0</v>
      </c>
      <c r="AD393">
        <f t="shared" si="65"/>
        <v>0</v>
      </c>
      <c r="AE393">
        <f t="shared" si="66"/>
        <v>510</v>
      </c>
      <c r="AF393">
        <f t="shared" si="67"/>
        <v>0</v>
      </c>
      <c r="AG393">
        <f t="shared" si="68"/>
        <v>0</v>
      </c>
      <c r="AH393">
        <f t="shared" si="69"/>
        <v>88</v>
      </c>
    </row>
    <row r="394" spans="1:34" ht="15.5" x14ac:dyDescent="0.35">
      <c r="A394" s="45" t="s">
        <v>27</v>
      </c>
      <c r="B394" s="45">
        <v>2017</v>
      </c>
      <c r="C394" s="45" t="s">
        <v>65</v>
      </c>
      <c r="D394" s="45" t="s">
        <v>44</v>
      </c>
      <c r="E394" s="55"/>
      <c r="F394" s="59"/>
      <c r="G394" s="55"/>
      <c r="H394" s="55"/>
      <c r="I394" s="55"/>
      <c r="J394" s="55"/>
      <c r="K394" s="55"/>
      <c r="L394" s="55"/>
      <c r="M394" s="55"/>
      <c r="N394" s="59"/>
      <c r="O394" s="55"/>
      <c r="P394" s="55"/>
      <c r="Q394" s="55"/>
      <c r="R394" s="55"/>
      <c r="S394" s="55"/>
      <c r="T394" s="55"/>
      <c r="U394" s="55">
        <v>200</v>
      </c>
      <c r="V394" s="55"/>
      <c r="W394" s="55"/>
      <c r="X394" s="55"/>
      <c r="Y394" s="55">
        <f t="shared" si="60"/>
        <v>0</v>
      </c>
      <c r="Z394">
        <f t="shared" si="61"/>
        <v>0</v>
      </c>
      <c r="AA394">
        <f t="shared" si="62"/>
        <v>0</v>
      </c>
      <c r="AB394">
        <f t="shared" si="63"/>
        <v>0</v>
      </c>
      <c r="AC394">
        <f t="shared" si="64"/>
        <v>0</v>
      </c>
      <c r="AD394">
        <f t="shared" si="65"/>
        <v>0</v>
      </c>
      <c r="AE394">
        <f t="shared" si="66"/>
        <v>0</v>
      </c>
      <c r="AF394">
        <f t="shared" si="67"/>
        <v>0</v>
      </c>
      <c r="AG394">
        <f t="shared" si="68"/>
        <v>200</v>
      </c>
      <c r="AH394">
        <f t="shared" si="69"/>
        <v>0</v>
      </c>
    </row>
    <row r="395" spans="1:34" ht="15.5" x14ac:dyDescent="0.35">
      <c r="A395" s="45" t="s">
        <v>27</v>
      </c>
      <c r="B395" s="45">
        <v>2017</v>
      </c>
      <c r="C395" s="45" t="s">
        <v>65</v>
      </c>
      <c r="D395" s="45" t="s">
        <v>45</v>
      </c>
      <c r="E395" s="55"/>
      <c r="F395" s="55"/>
      <c r="G395" s="55"/>
      <c r="H395" s="55"/>
      <c r="I395" s="55"/>
      <c r="J395" s="55"/>
      <c r="K395" s="55"/>
      <c r="L395" s="55"/>
      <c r="M395" s="55"/>
      <c r="N395" s="59"/>
      <c r="O395" s="55">
        <v>500</v>
      </c>
      <c r="P395" s="55"/>
      <c r="Q395" s="55"/>
      <c r="R395" s="55"/>
      <c r="S395" s="55"/>
      <c r="T395" s="55"/>
      <c r="U395" s="55"/>
      <c r="V395" s="55">
        <v>60</v>
      </c>
      <c r="W395" s="55"/>
      <c r="X395" s="55"/>
      <c r="Y395" s="55">
        <f t="shared" si="60"/>
        <v>0</v>
      </c>
      <c r="Z395">
        <f t="shared" si="61"/>
        <v>0</v>
      </c>
      <c r="AA395">
        <f t="shared" si="62"/>
        <v>0</v>
      </c>
      <c r="AB395">
        <f t="shared" si="63"/>
        <v>0</v>
      </c>
      <c r="AC395">
        <f t="shared" si="64"/>
        <v>0</v>
      </c>
      <c r="AD395">
        <f t="shared" si="65"/>
        <v>500</v>
      </c>
      <c r="AE395">
        <f t="shared" si="66"/>
        <v>0</v>
      </c>
      <c r="AF395">
        <f t="shared" si="67"/>
        <v>0</v>
      </c>
      <c r="AG395">
        <f t="shared" si="68"/>
        <v>60</v>
      </c>
      <c r="AH395">
        <f t="shared" si="69"/>
        <v>0</v>
      </c>
    </row>
    <row r="396" spans="1:34" x14ac:dyDescent="0.35">
      <c r="A396" s="45" t="s">
        <v>27</v>
      </c>
      <c r="B396" s="45">
        <v>2017</v>
      </c>
      <c r="C396" s="45" t="s">
        <v>43</v>
      </c>
      <c r="D396" s="45" t="s">
        <v>44</v>
      </c>
      <c r="E396" s="55"/>
      <c r="F396" s="55"/>
      <c r="G396" s="55"/>
      <c r="H396" s="55"/>
      <c r="I396" s="55">
        <v>500</v>
      </c>
      <c r="J396" s="55"/>
      <c r="K396" s="55"/>
      <c r="L396" s="55"/>
      <c r="M396" s="55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>
        <f t="shared" si="60"/>
        <v>0</v>
      </c>
      <c r="Z396">
        <f t="shared" si="61"/>
        <v>0</v>
      </c>
      <c r="AA396">
        <f t="shared" si="62"/>
        <v>500</v>
      </c>
      <c r="AB396">
        <f t="shared" si="63"/>
        <v>0</v>
      </c>
      <c r="AC396">
        <f t="shared" si="64"/>
        <v>0</v>
      </c>
      <c r="AD396">
        <f t="shared" si="65"/>
        <v>0</v>
      </c>
      <c r="AE396">
        <f t="shared" si="66"/>
        <v>0</v>
      </c>
      <c r="AF396">
        <f t="shared" si="67"/>
        <v>0</v>
      </c>
      <c r="AG396">
        <f t="shared" si="68"/>
        <v>0</v>
      </c>
      <c r="AH396">
        <f t="shared" si="69"/>
        <v>0</v>
      </c>
    </row>
    <row r="397" spans="1:34" ht="15.5" x14ac:dyDescent="0.35">
      <c r="A397" s="45" t="s">
        <v>27</v>
      </c>
      <c r="B397" s="45">
        <v>2017</v>
      </c>
      <c r="C397" s="45" t="s">
        <v>43</v>
      </c>
      <c r="D397" s="45" t="s">
        <v>45</v>
      </c>
      <c r="E397" s="55"/>
      <c r="F397" s="55">
        <v>110</v>
      </c>
      <c r="G397" s="55"/>
      <c r="H397" s="55"/>
      <c r="I397" s="55">
        <v>300</v>
      </c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6">
        <v>24981.781999999999</v>
      </c>
      <c r="U397" s="55"/>
      <c r="V397" s="55"/>
      <c r="W397" s="55"/>
      <c r="X397" s="55"/>
      <c r="Y397" s="55">
        <f t="shared" si="60"/>
        <v>110</v>
      </c>
      <c r="Z397">
        <f t="shared" si="61"/>
        <v>0</v>
      </c>
      <c r="AA397">
        <f t="shared" si="62"/>
        <v>300</v>
      </c>
      <c r="AB397">
        <f t="shared" si="63"/>
        <v>0</v>
      </c>
      <c r="AC397">
        <f t="shared" si="64"/>
        <v>0</v>
      </c>
      <c r="AD397">
        <f t="shared" si="65"/>
        <v>0</v>
      </c>
      <c r="AE397">
        <f t="shared" si="66"/>
        <v>0</v>
      </c>
      <c r="AF397">
        <f t="shared" si="67"/>
        <v>24981.781999999999</v>
      </c>
      <c r="AG397">
        <f t="shared" si="68"/>
        <v>0</v>
      </c>
      <c r="AH397">
        <f t="shared" si="69"/>
        <v>0</v>
      </c>
    </row>
    <row r="398" spans="1:34" x14ac:dyDescent="0.35">
      <c r="A398" s="45" t="s">
        <v>27</v>
      </c>
      <c r="B398" s="45">
        <v>2016</v>
      </c>
      <c r="C398" s="45" t="s">
        <v>65</v>
      </c>
      <c r="D398" s="45" t="s">
        <v>44</v>
      </c>
      <c r="E398" s="55"/>
      <c r="F398" s="55"/>
      <c r="G398" s="55"/>
      <c r="H398" s="55"/>
      <c r="I398" s="55"/>
      <c r="J398" s="55"/>
      <c r="K398" s="55">
        <v>2000</v>
      </c>
      <c r="L398" s="55">
        <v>1500</v>
      </c>
      <c r="M398" s="55"/>
      <c r="N398" s="55">
        <v>300</v>
      </c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>
        <f t="shared" si="60"/>
        <v>0</v>
      </c>
      <c r="Z398">
        <f t="shared" si="61"/>
        <v>0</v>
      </c>
      <c r="AA398">
        <f t="shared" si="62"/>
        <v>0</v>
      </c>
      <c r="AB398">
        <f t="shared" si="63"/>
        <v>3500</v>
      </c>
      <c r="AC398">
        <f t="shared" si="64"/>
        <v>300</v>
      </c>
      <c r="AD398">
        <f t="shared" si="65"/>
        <v>0</v>
      </c>
      <c r="AE398">
        <f t="shared" si="66"/>
        <v>0</v>
      </c>
      <c r="AF398">
        <f t="shared" si="67"/>
        <v>0</v>
      </c>
      <c r="AG398">
        <f t="shared" si="68"/>
        <v>0</v>
      </c>
      <c r="AH398">
        <f t="shared" si="69"/>
        <v>0</v>
      </c>
    </row>
    <row r="399" spans="1:34" ht="15.5" x14ac:dyDescent="0.35">
      <c r="A399" s="45" t="s">
        <v>27</v>
      </c>
      <c r="B399" s="45">
        <v>2016</v>
      </c>
      <c r="C399" s="45" t="s">
        <v>65</v>
      </c>
      <c r="D399" s="45" t="s">
        <v>45</v>
      </c>
      <c r="E399" s="55"/>
      <c r="F399" s="55"/>
      <c r="G399" s="55"/>
      <c r="H399" s="55"/>
      <c r="I399" s="55"/>
      <c r="J399" s="55"/>
      <c r="K399" s="55"/>
      <c r="L399" s="55"/>
      <c r="M399" s="55"/>
      <c r="N399" s="56">
        <v>3000</v>
      </c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>
        <f t="shared" si="60"/>
        <v>0</v>
      </c>
      <c r="Z399">
        <f t="shared" si="61"/>
        <v>0</v>
      </c>
      <c r="AA399">
        <f t="shared" si="62"/>
        <v>0</v>
      </c>
      <c r="AB399">
        <f t="shared" si="63"/>
        <v>0</v>
      </c>
      <c r="AC399">
        <f t="shared" si="64"/>
        <v>3000</v>
      </c>
      <c r="AD399">
        <f t="shared" si="65"/>
        <v>0</v>
      </c>
      <c r="AE399">
        <f t="shared" si="66"/>
        <v>0</v>
      </c>
      <c r="AF399">
        <f t="shared" si="67"/>
        <v>0</v>
      </c>
      <c r="AG399">
        <f t="shared" si="68"/>
        <v>0</v>
      </c>
      <c r="AH399">
        <f t="shared" si="69"/>
        <v>0</v>
      </c>
    </row>
    <row r="400" spans="1:34" x14ac:dyDescent="0.35">
      <c r="A400" s="45" t="s">
        <v>27</v>
      </c>
      <c r="B400" s="45">
        <v>2016</v>
      </c>
      <c r="C400" s="45" t="s">
        <v>43</v>
      </c>
      <c r="D400" s="45" t="s">
        <v>46</v>
      </c>
      <c r="E400" s="55"/>
      <c r="F400" s="55"/>
      <c r="G400" s="55"/>
      <c r="H400" s="55"/>
      <c r="I400" s="55"/>
      <c r="J400" s="55"/>
      <c r="K400" s="55"/>
      <c r="L400" s="55"/>
      <c r="M400" s="55"/>
      <c r="N400" s="55">
        <v>2000</v>
      </c>
      <c r="O400" s="55">
        <v>1500</v>
      </c>
      <c r="P400" s="55"/>
      <c r="Q400" s="55">
        <v>300</v>
      </c>
      <c r="R400" s="55"/>
      <c r="S400" s="55">
        <v>500</v>
      </c>
      <c r="T400" s="55"/>
      <c r="U400" s="55"/>
      <c r="V400" s="55"/>
      <c r="W400" s="55"/>
      <c r="X400" s="55"/>
      <c r="Y400" s="55">
        <f t="shared" si="60"/>
        <v>0</v>
      </c>
      <c r="Z400">
        <f t="shared" si="61"/>
        <v>0</v>
      </c>
      <c r="AA400">
        <f t="shared" si="62"/>
        <v>0</v>
      </c>
      <c r="AB400">
        <f t="shared" si="63"/>
        <v>0</v>
      </c>
      <c r="AC400">
        <f t="shared" si="64"/>
        <v>2000</v>
      </c>
      <c r="AD400">
        <f t="shared" si="65"/>
        <v>1500</v>
      </c>
      <c r="AE400">
        <f t="shared" si="66"/>
        <v>300</v>
      </c>
      <c r="AF400">
        <f t="shared" si="67"/>
        <v>500</v>
      </c>
      <c r="AG400">
        <f t="shared" si="68"/>
        <v>0</v>
      </c>
      <c r="AH400">
        <f t="shared" si="69"/>
        <v>0</v>
      </c>
    </row>
    <row r="401" spans="1:34" ht="15.5" x14ac:dyDescent="0.35">
      <c r="A401" s="45" t="s">
        <v>27</v>
      </c>
      <c r="B401" s="45">
        <v>2016</v>
      </c>
      <c r="C401" s="45" t="s">
        <v>43</v>
      </c>
      <c r="D401" s="45" t="s">
        <v>46</v>
      </c>
      <c r="E401" s="55">
        <v>300</v>
      </c>
      <c r="F401" s="55"/>
      <c r="G401" s="55">
        <v>500</v>
      </c>
      <c r="H401" s="55"/>
      <c r="I401" s="55"/>
      <c r="J401" s="55"/>
      <c r="K401" s="55"/>
      <c r="L401" s="55"/>
      <c r="M401" s="55">
        <v>1500</v>
      </c>
      <c r="N401" s="55"/>
      <c r="O401" s="55"/>
      <c r="P401" s="55">
        <v>2000</v>
      </c>
      <c r="Q401" s="55"/>
      <c r="R401" s="55"/>
      <c r="S401" s="55">
        <v>300</v>
      </c>
      <c r="T401" s="56"/>
      <c r="U401" s="55"/>
      <c r="V401" s="55"/>
      <c r="W401" s="55"/>
      <c r="X401" s="55">
        <v>300</v>
      </c>
      <c r="Y401" s="55">
        <f t="shared" si="60"/>
        <v>300</v>
      </c>
      <c r="Z401">
        <f t="shared" si="61"/>
        <v>500</v>
      </c>
      <c r="AA401">
        <f t="shared" si="62"/>
        <v>0</v>
      </c>
      <c r="AB401">
        <f t="shared" si="63"/>
        <v>0</v>
      </c>
      <c r="AC401">
        <f t="shared" si="64"/>
        <v>1500</v>
      </c>
      <c r="AD401">
        <f t="shared" si="65"/>
        <v>2000</v>
      </c>
      <c r="AE401">
        <f t="shared" si="66"/>
        <v>0</v>
      </c>
      <c r="AF401">
        <f t="shared" si="67"/>
        <v>300</v>
      </c>
      <c r="AG401">
        <f t="shared" si="68"/>
        <v>0</v>
      </c>
      <c r="AH401">
        <f t="shared" si="69"/>
        <v>300</v>
      </c>
    </row>
    <row r="402" spans="1:34" ht="15.5" x14ac:dyDescent="0.35">
      <c r="A402" s="45" t="s">
        <v>27</v>
      </c>
      <c r="B402" s="45">
        <v>2016</v>
      </c>
      <c r="C402" s="45" t="s">
        <v>65</v>
      </c>
      <c r="D402" s="45" t="s">
        <v>139</v>
      </c>
      <c r="E402" s="55"/>
      <c r="F402" s="55"/>
      <c r="G402" s="55">
        <v>300</v>
      </c>
      <c r="H402" s="56"/>
      <c r="I402" s="55"/>
      <c r="J402" s="55"/>
      <c r="K402" s="55"/>
      <c r="L402" s="55">
        <v>300</v>
      </c>
      <c r="M402" s="55"/>
      <c r="N402" s="55"/>
      <c r="O402" s="55"/>
      <c r="P402" s="55"/>
      <c r="Q402" s="55"/>
      <c r="R402" s="55"/>
      <c r="S402" s="55"/>
      <c r="T402" s="55"/>
      <c r="U402" s="55"/>
      <c r="V402" s="55"/>
      <c r="W402" s="55">
        <v>2500</v>
      </c>
      <c r="X402" s="55"/>
      <c r="Y402" s="55">
        <f t="shared" si="60"/>
        <v>0</v>
      </c>
      <c r="Z402">
        <f t="shared" si="61"/>
        <v>300</v>
      </c>
      <c r="AA402">
        <f t="shared" si="62"/>
        <v>0</v>
      </c>
      <c r="AB402">
        <f t="shared" si="63"/>
        <v>300</v>
      </c>
      <c r="AC402">
        <f t="shared" si="64"/>
        <v>0</v>
      </c>
      <c r="AD402">
        <f t="shared" si="65"/>
        <v>0</v>
      </c>
      <c r="AE402">
        <f t="shared" si="66"/>
        <v>0</v>
      </c>
      <c r="AF402">
        <f t="shared" si="67"/>
        <v>0</v>
      </c>
      <c r="AG402">
        <f t="shared" si="68"/>
        <v>0</v>
      </c>
      <c r="AH402">
        <f t="shared" si="69"/>
        <v>2500</v>
      </c>
    </row>
    <row r="403" spans="1:34" ht="15.5" x14ac:dyDescent="0.35">
      <c r="A403" s="45" t="s">
        <v>27</v>
      </c>
      <c r="B403" s="45">
        <v>2022</v>
      </c>
      <c r="C403" s="45" t="s">
        <v>65</v>
      </c>
      <c r="D403" s="45" t="s">
        <v>139</v>
      </c>
      <c r="E403" s="55"/>
      <c r="F403" s="55"/>
      <c r="G403" s="55"/>
      <c r="H403" s="55"/>
      <c r="I403" s="55"/>
      <c r="J403" s="55"/>
      <c r="K403" s="55">
        <v>2500</v>
      </c>
      <c r="L403" s="55"/>
      <c r="M403" s="55"/>
      <c r="N403" s="55"/>
      <c r="O403" s="55"/>
      <c r="P403" s="55"/>
      <c r="Q403" s="55"/>
      <c r="R403" s="55">
        <v>1000</v>
      </c>
      <c r="S403" s="55">
        <v>12000</v>
      </c>
      <c r="T403" s="58"/>
      <c r="U403" s="55"/>
      <c r="V403" s="55">
        <v>500</v>
      </c>
      <c r="W403" s="55"/>
      <c r="X403" s="55"/>
      <c r="Y403" s="55">
        <f t="shared" si="60"/>
        <v>0</v>
      </c>
      <c r="Z403">
        <f t="shared" si="61"/>
        <v>0</v>
      </c>
      <c r="AA403">
        <f t="shared" si="62"/>
        <v>0</v>
      </c>
      <c r="AB403">
        <f t="shared" si="63"/>
        <v>2500</v>
      </c>
      <c r="AC403">
        <f t="shared" si="64"/>
        <v>0</v>
      </c>
      <c r="AD403">
        <f t="shared" si="65"/>
        <v>0</v>
      </c>
      <c r="AE403">
        <f t="shared" si="66"/>
        <v>1000</v>
      </c>
      <c r="AF403">
        <f t="shared" si="67"/>
        <v>12000</v>
      </c>
      <c r="AG403">
        <f t="shared" si="68"/>
        <v>500</v>
      </c>
      <c r="AH403">
        <f t="shared" si="69"/>
        <v>0</v>
      </c>
    </row>
    <row r="404" spans="1:34" ht="15.5" x14ac:dyDescent="0.35">
      <c r="A404" s="45" t="s">
        <v>27</v>
      </c>
      <c r="B404" s="45">
        <v>2022</v>
      </c>
      <c r="C404" s="45" t="s">
        <v>43</v>
      </c>
      <c r="D404" s="45" t="s">
        <v>69</v>
      </c>
      <c r="E404" s="55"/>
      <c r="F404" s="55">
        <v>1000</v>
      </c>
      <c r="G404" s="55">
        <v>12000</v>
      </c>
      <c r="H404" s="58"/>
      <c r="I404" s="55"/>
      <c r="J404" s="55">
        <v>500</v>
      </c>
      <c r="K404" s="55"/>
      <c r="L404" s="55"/>
      <c r="M404" s="55"/>
      <c r="N404" s="55"/>
      <c r="O404" s="55"/>
      <c r="P404" s="55"/>
      <c r="Q404" s="55">
        <v>700</v>
      </c>
      <c r="R404" s="55"/>
      <c r="S404" s="55"/>
      <c r="T404" s="55">
        <v>200</v>
      </c>
      <c r="U404" s="55">
        <v>1000</v>
      </c>
      <c r="V404" s="55"/>
      <c r="W404" s="55"/>
      <c r="X404" s="55"/>
      <c r="Y404" s="55">
        <f t="shared" si="60"/>
        <v>1000</v>
      </c>
      <c r="Z404">
        <f t="shared" si="61"/>
        <v>12000</v>
      </c>
      <c r="AA404">
        <f t="shared" si="62"/>
        <v>500</v>
      </c>
      <c r="AB404">
        <f t="shared" si="63"/>
        <v>0</v>
      </c>
      <c r="AC404">
        <f t="shared" si="64"/>
        <v>0</v>
      </c>
      <c r="AD404">
        <f t="shared" si="65"/>
        <v>0</v>
      </c>
      <c r="AE404">
        <f t="shared" si="66"/>
        <v>700</v>
      </c>
      <c r="AF404">
        <f t="shared" si="67"/>
        <v>200</v>
      </c>
      <c r="AG404">
        <f t="shared" si="68"/>
        <v>1000</v>
      </c>
      <c r="AH404">
        <f t="shared" si="69"/>
        <v>0</v>
      </c>
    </row>
    <row r="405" spans="1:34" ht="15.5" x14ac:dyDescent="0.35">
      <c r="A405" s="45" t="s">
        <v>27</v>
      </c>
      <c r="B405" s="45">
        <v>2022</v>
      </c>
      <c r="C405" s="45" t="s">
        <v>43</v>
      </c>
      <c r="D405" s="45" t="s">
        <v>140</v>
      </c>
      <c r="E405" s="55">
        <v>700</v>
      </c>
      <c r="F405" s="55"/>
      <c r="G405" s="55"/>
      <c r="H405" s="55">
        <v>200</v>
      </c>
      <c r="I405" s="55">
        <v>1000</v>
      </c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9"/>
      <c r="U405" s="55"/>
      <c r="V405" s="55"/>
      <c r="W405" s="55"/>
      <c r="X405" s="55"/>
      <c r="Y405" s="55">
        <f t="shared" si="60"/>
        <v>700</v>
      </c>
      <c r="Z405">
        <f t="shared" si="61"/>
        <v>200</v>
      </c>
      <c r="AA405">
        <f t="shared" si="62"/>
        <v>1000</v>
      </c>
      <c r="AB405">
        <f t="shared" si="63"/>
        <v>0</v>
      </c>
      <c r="AC405">
        <f t="shared" si="64"/>
        <v>0</v>
      </c>
      <c r="AD405">
        <f t="shared" si="65"/>
        <v>0</v>
      </c>
      <c r="AE405">
        <f t="shared" si="66"/>
        <v>0</v>
      </c>
      <c r="AF405">
        <f t="shared" si="67"/>
        <v>0</v>
      </c>
      <c r="AG405">
        <f t="shared" si="68"/>
        <v>0</v>
      </c>
      <c r="AH405">
        <f t="shared" si="69"/>
        <v>0</v>
      </c>
    </row>
    <row r="406" spans="1:34" ht="15.5" x14ac:dyDescent="0.35">
      <c r="A406" s="45" t="s">
        <v>27</v>
      </c>
      <c r="B406" s="45">
        <v>2022</v>
      </c>
      <c r="C406" s="45" t="s">
        <v>65</v>
      </c>
      <c r="D406" s="45" t="s">
        <v>141</v>
      </c>
      <c r="E406" s="55"/>
      <c r="F406" s="55"/>
      <c r="G406" s="55"/>
      <c r="H406" s="59"/>
      <c r="I406" s="55"/>
      <c r="J406" s="55"/>
      <c r="K406" s="55"/>
      <c r="L406" s="55"/>
      <c r="M406" s="55"/>
      <c r="N406" s="56">
        <v>34575</v>
      </c>
      <c r="O406" s="55"/>
      <c r="P406" s="55"/>
      <c r="Q406" s="55"/>
      <c r="R406" s="55"/>
      <c r="S406" s="55"/>
      <c r="T406" s="55"/>
      <c r="U406" s="55"/>
      <c r="V406" s="55"/>
      <c r="W406" s="55"/>
      <c r="X406" s="55"/>
      <c r="Y406" s="55">
        <f t="shared" si="60"/>
        <v>0</v>
      </c>
      <c r="Z406">
        <f t="shared" si="61"/>
        <v>0</v>
      </c>
      <c r="AA406">
        <f t="shared" si="62"/>
        <v>0</v>
      </c>
      <c r="AB406">
        <f t="shared" si="63"/>
        <v>0</v>
      </c>
      <c r="AC406">
        <f t="shared" si="64"/>
        <v>34575</v>
      </c>
      <c r="AD406">
        <f t="shared" si="65"/>
        <v>0</v>
      </c>
      <c r="AE406">
        <f t="shared" si="66"/>
        <v>0</v>
      </c>
      <c r="AF406">
        <f t="shared" si="67"/>
        <v>0</v>
      </c>
      <c r="AG406">
        <f t="shared" si="68"/>
        <v>0</v>
      </c>
      <c r="AH406">
        <f t="shared" si="69"/>
        <v>0</v>
      </c>
    </row>
    <row r="407" spans="1:34" ht="15.5" x14ac:dyDescent="0.35">
      <c r="A407" s="45" t="s">
        <v>27</v>
      </c>
      <c r="B407" s="45">
        <v>2022</v>
      </c>
      <c r="C407" s="45" t="s">
        <v>65</v>
      </c>
      <c r="D407" s="45" t="s">
        <v>69</v>
      </c>
      <c r="E407" s="55">
        <v>1500</v>
      </c>
      <c r="F407" s="55"/>
      <c r="G407" s="55">
        <v>300</v>
      </c>
      <c r="H407" s="55"/>
      <c r="I407" s="55"/>
      <c r="J407" s="56"/>
      <c r="K407" s="55"/>
      <c r="L407" s="55"/>
      <c r="M407" s="55"/>
      <c r="N407" s="55"/>
      <c r="O407" s="55"/>
      <c r="P407" s="55"/>
      <c r="Q407" s="55">
        <v>300</v>
      </c>
      <c r="R407" s="55"/>
      <c r="S407" s="55"/>
      <c r="T407" s="55"/>
      <c r="U407" s="55"/>
      <c r="V407" s="55"/>
      <c r="W407" s="55"/>
      <c r="X407" s="55"/>
      <c r="Y407" s="55">
        <f t="shared" si="60"/>
        <v>1500</v>
      </c>
      <c r="Z407">
        <f t="shared" si="61"/>
        <v>300</v>
      </c>
      <c r="AA407">
        <f t="shared" si="62"/>
        <v>0</v>
      </c>
      <c r="AB407">
        <f t="shared" si="63"/>
        <v>0</v>
      </c>
      <c r="AC407">
        <f t="shared" si="64"/>
        <v>0</v>
      </c>
      <c r="AD407">
        <f t="shared" si="65"/>
        <v>0</v>
      </c>
      <c r="AE407">
        <f t="shared" si="66"/>
        <v>300</v>
      </c>
      <c r="AF407">
        <f t="shared" si="67"/>
        <v>0</v>
      </c>
      <c r="AG407">
        <f t="shared" si="68"/>
        <v>0</v>
      </c>
      <c r="AH407">
        <f t="shared" si="69"/>
        <v>0</v>
      </c>
    </row>
    <row r="408" spans="1:34" x14ac:dyDescent="0.35">
      <c r="A408" s="45" t="s">
        <v>27</v>
      </c>
      <c r="B408" s="45">
        <v>2022</v>
      </c>
      <c r="C408" s="45" t="s">
        <v>43</v>
      </c>
      <c r="D408" s="45" t="s">
        <v>142</v>
      </c>
      <c r="E408" s="55"/>
      <c r="F408" s="55">
        <v>2000</v>
      </c>
      <c r="G408" s="55"/>
      <c r="H408" s="55"/>
      <c r="I408" s="55"/>
      <c r="J408" s="55"/>
      <c r="K408" s="55"/>
      <c r="L408" s="55"/>
      <c r="M408" s="55"/>
      <c r="N408" s="55">
        <v>300</v>
      </c>
      <c r="O408" s="55"/>
      <c r="P408" s="55"/>
      <c r="Q408" s="55"/>
      <c r="R408" s="55"/>
      <c r="S408" s="55">
        <v>2000</v>
      </c>
      <c r="T408" s="55">
        <v>1500</v>
      </c>
      <c r="U408" s="55"/>
      <c r="V408" s="55">
        <v>300</v>
      </c>
      <c r="W408" s="55"/>
      <c r="X408" s="55"/>
      <c r="Y408" s="55">
        <f t="shared" si="60"/>
        <v>2000</v>
      </c>
      <c r="Z408">
        <f t="shared" si="61"/>
        <v>0</v>
      </c>
      <c r="AA408">
        <f t="shared" si="62"/>
        <v>0</v>
      </c>
      <c r="AB408">
        <f t="shared" si="63"/>
        <v>0</v>
      </c>
      <c r="AC408">
        <f t="shared" si="64"/>
        <v>300</v>
      </c>
      <c r="AD408">
        <f t="shared" si="65"/>
        <v>0</v>
      </c>
      <c r="AE408">
        <f t="shared" si="66"/>
        <v>0</v>
      </c>
      <c r="AF408">
        <f t="shared" si="67"/>
        <v>3500</v>
      </c>
      <c r="AG408">
        <f t="shared" si="68"/>
        <v>300</v>
      </c>
      <c r="AH408">
        <f t="shared" si="69"/>
        <v>0</v>
      </c>
    </row>
    <row r="409" spans="1:34" ht="15.5" x14ac:dyDescent="0.35">
      <c r="A409" s="45" t="s">
        <v>28</v>
      </c>
      <c r="B409" s="45">
        <v>2016</v>
      </c>
      <c r="C409" s="45" t="s">
        <v>43</v>
      </c>
      <c r="D409" s="45" t="s">
        <v>44</v>
      </c>
      <c r="E409" s="55"/>
      <c r="F409" s="55"/>
      <c r="G409" s="55"/>
      <c r="H409" s="55"/>
      <c r="I409" s="55"/>
      <c r="J409" s="57"/>
      <c r="K409" s="55"/>
      <c r="L409" s="55"/>
      <c r="M409" s="55">
        <v>2500</v>
      </c>
      <c r="N409" s="55"/>
      <c r="O409" s="55"/>
      <c r="P409" s="55"/>
      <c r="Q409" s="55"/>
      <c r="R409" s="55"/>
      <c r="S409" s="55"/>
      <c r="T409" s="55"/>
      <c r="U409" s="55"/>
      <c r="V409" s="56">
        <v>3000</v>
      </c>
      <c r="W409" s="55"/>
      <c r="X409" s="55"/>
      <c r="Y409" s="55">
        <f t="shared" si="60"/>
        <v>0</v>
      </c>
      <c r="Z409">
        <f t="shared" si="61"/>
        <v>0</v>
      </c>
      <c r="AA409">
        <f t="shared" si="62"/>
        <v>0</v>
      </c>
      <c r="AB409">
        <f t="shared" si="63"/>
        <v>0</v>
      </c>
      <c r="AC409">
        <f t="shared" si="64"/>
        <v>2500</v>
      </c>
      <c r="AD409">
        <f t="shared" si="65"/>
        <v>0</v>
      </c>
      <c r="AE409">
        <f t="shared" si="66"/>
        <v>0</v>
      </c>
      <c r="AF409">
        <f t="shared" si="67"/>
        <v>0</v>
      </c>
      <c r="AG409">
        <f t="shared" si="68"/>
        <v>3000</v>
      </c>
      <c r="AH409">
        <f t="shared" si="69"/>
        <v>0</v>
      </c>
    </row>
    <row r="410" spans="1:34" x14ac:dyDescent="0.35">
      <c r="A410" s="45" t="s">
        <v>28</v>
      </c>
      <c r="B410" s="45">
        <v>2016</v>
      </c>
      <c r="C410" s="45" t="s">
        <v>65</v>
      </c>
      <c r="D410" s="45" t="s">
        <v>45</v>
      </c>
      <c r="E410" s="55"/>
      <c r="F410" s="55"/>
      <c r="G410" s="55"/>
      <c r="H410" s="55">
        <v>1000</v>
      </c>
      <c r="I410" s="55">
        <v>10000</v>
      </c>
      <c r="J410" s="55"/>
      <c r="K410" s="55"/>
      <c r="L410" s="55">
        <v>500</v>
      </c>
      <c r="M410" s="55"/>
      <c r="N410" s="55"/>
      <c r="O410" s="55">
        <v>12000</v>
      </c>
      <c r="P410" s="55"/>
      <c r="Q410" s="55"/>
      <c r="R410" s="55"/>
      <c r="S410" s="55"/>
      <c r="T410" s="55"/>
      <c r="U410" s="55"/>
      <c r="V410" s="55">
        <v>2000</v>
      </c>
      <c r="W410" s="55"/>
      <c r="X410" s="55"/>
      <c r="Y410" s="55">
        <f t="shared" si="60"/>
        <v>0</v>
      </c>
      <c r="Z410">
        <f t="shared" si="61"/>
        <v>1000</v>
      </c>
      <c r="AA410">
        <f t="shared" si="62"/>
        <v>10000</v>
      </c>
      <c r="AB410">
        <f t="shared" si="63"/>
        <v>500</v>
      </c>
      <c r="AC410">
        <f t="shared" si="64"/>
        <v>0</v>
      </c>
      <c r="AD410">
        <f t="shared" si="65"/>
        <v>12000</v>
      </c>
      <c r="AE410">
        <f t="shared" si="66"/>
        <v>0</v>
      </c>
      <c r="AF410">
        <f t="shared" si="67"/>
        <v>0</v>
      </c>
      <c r="AG410">
        <f t="shared" si="68"/>
        <v>2000</v>
      </c>
      <c r="AH410">
        <f t="shared" si="69"/>
        <v>0</v>
      </c>
    </row>
    <row r="411" spans="1:34" ht="15.5" x14ac:dyDescent="0.35">
      <c r="A411" s="45" t="s">
        <v>28</v>
      </c>
      <c r="B411" s="45">
        <v>2916</v>
      </c>
      <c r="C411" s="45" t="s">
        <v>65</v>
      </c>
      <c r="D411" s="45" t="s">
        <v>44</v>
      </c>
      <c r="E411" s="55"/>
      <c r="F411" s="55"/>
      <c r="G411" s="55">
        <v>700</v>
      </c>
      <c r="H411" s="55"/>
      <c r="I411" s="55"/>
      <c r="J411" s="59"/>
      <c r="K411" s="55">
        <v>1000</v>
      </c>
      <c r="L411" s="55"/>
      <c r="M411" s="55"/>
      <c r="N411" s="55"/>
      <c r="O411" s="55"/>
      <c r="P411" s="55"/>
      <c r="Q411" s="55"/>
      <c r="R411" s="55"/>
      <c r="S411" s="55"/>
      <c r="T411" s="55"/>
      <c r="U411" s="55">
        <v>1500</v>
      </c>
      <c r="V411" s="55"/>
      <c r="W411" s="55"/>
      <c r="X411" s="55"/>
      <c r="Y411" s="55">
        <f t="shared" si="60"/>
        <v>0</v>
      </c>
      <c r="Z411">
        <f t="shared" si="61"/>
        <v>700</v>
      </c>
      <c r="AA411">
        <f t="shared" si="62"/>
        <v>0</v>
      </c>
      <c r="AB411">
        <f t="shared" si="63"/>
        <v>1000</v>
      </c>
      <c r="AC411">
        <f t="shared" si="64"/>
        <v>0</v>
      </c>
      <c r="AD411">
        <f t="shared" si="65"/>
        <v>0</v>
      </c>
      <c r="AE411">
        <f t="shared" si="66"/>
        <v>0</v>
      </c>
      <c r="AF411">
        <f t="shared" si="67"/>
        <v>0</v>
      </c>
      <c r="AG411">
        <f t="shared" si="68"/>
        <v>1500</v>
      </c>
      <c r="AH411">
        <f t="shared" si="69"/>
        <v>0</v>
      </c>
    </row>
    <row r="412" spans="1:34" ht="15.5" x14ac:dyDescent="0.35">
      <c r="A412" s="45" t="s">
        <v>28</v>
      </c>
      <c r="B412" s="45">
        <v>2016</v>
      </c>
      <c r="C412" s="45" t="s">
        <v>43</v>
      </c>
      <c r="D412" s="45" t="s">
        <v>45</v>
      </c>
      <c r="E412" s="55"/>
      <c r="F412" s="55"/>
      <c r="G412" s="55"/>
      <c r="H412" s="55"/>
      <c r="I412" s="55"/>
      <c r="J412" s="55">
        <v>50</v>
      </c>
      <c r="K412" s="55"/>
      <c r="L412" s="55"/>
      <c r="M412" s="55"/>
      <c r="N412" s="55"/>
      <c r="O412" s="55"/>
      <c r="P412" s="56"/>
      <c r="Q412" s="55"/>
      <c r="R412" s="55"/>
      <c r="S412" s="55"/>
      <c r="T412" s="55">
        <v>300</v>
      </c>
      <c r="U412" s="55"/>
      <c r="V412" s="55"/>
      <c r="W412" s="55"/>
      <c r="X412" s="55">
        <v>2500</v>
      </c>
      <c r="Y412" s="55">
        <f t="shared" si="60"/>
        <v>0</v>
      </c>
      <c r="Z412">
        <f t="shared" si="61"/>
        <v>0</v>
      </c>
      <c r="AA412">
        <f t="shared" si="62"/>
        <v>50</v>
      </c>
      <c r="AB412">
        <f t="shared" si="63"/>
        <v>0</v>
      </c>
      <c r="AC412">
        <f t="shared" si="64"/>
        <v>0</v>
      </c>
      <c r="AD412">
        <f t="shared" si="65"/>
        <v>0</v>
      </c>
      <c r="AE412">
        <f t="shared" si="66"/>
        <v>0</v>
      </c>
      <c r="AF412">
        <f t="shared" si="67"/>
        <v>300</v>
      </c>
      <c r="AG412">
        <f t="shared" si="68"/>
        <v>0</v>
      </c>
      <c r="AH412">
        <f t="shared" si="69"/>
        <v>2500</v>
      </c>
    </row>
    <row r="413" spans="1:34" ht="15.5" x14ac:dyDescent="0.35">
      <c r="A413" s="45" t="s">
        <v>28</v>
      </c>
      <c r="B413" s="45">
        <v>2017</v>
      </c>
      <c r="C413" s="45" t="s">
        <v>43</v>
      </c>
      <c r="D413" s="45" t="s">
        <v>44</v>
      </c>
      <c r="E413" s="55"/>
      <c r="F413" s="55"/>
      <c r="G413" s="55"/>
      <c r="H413" s="55"/>
      <c r="I413" s="55"/>
      <c r="J413" s="55"/>
      <c r="K413" s="56"/>
      <c r="L413" s="55"/>
      <c r="M413" s="55"/>
      <c r="N413" s="55"/>
      <c r="O413" s="55"/>
      <c r="P413" s="55"/>
      <c r="Q413" s="55"/>
      <c r="R413" s="55"/>
      <c r="S413" s="55">
        <v>2500</v>
      </c>
      <c r="T413" s="55"/>
      <c r="U413" s="55"/>
      <c r="V413" s="55"/>
      <c r="W413" s="55">
        <v>500</v>
      </c>
      <c r="X413" s="55"/>
      <c r="Y413" s="55">
        <f t="shared" si="60"/>
        <v>0</v>
      </c>
      <c r="Z413">
        <f t="shared" si="61"/>
        <v>0</v>
      </c>
      <c r="AA413">
        <f t="shared" si="62"/>
        <v>0</v>
      </c>
      <c r="AB413">
        <f t="shared" si="63"/>
        <v>0</v>
      </c>
      <c r="AC413">
        <f t="shared" si="64"/>
        <v>0</v>
      </c>
      <c r="AD413">
        <f t="shared" si="65"/>
        <v>0</v>
      </c>
      <c r="AE413">
        <f t="shared" si="66"/>
        <v>0</v>
      </c>
      <c r="AF413">
        <f t="shared" si="67"/>
        <v>2500</v>
      </c>
      <c r="AG413">
        <f t="shared" si="68"/>
        <v>0</v>
      </c>
      <c r="AH413">
        <f t="shared" si="69"/>
        <v>500</v>
      </c>
    </row>
    <row r="414" spans="1:34" ht="15.5" x14ac:dyDescent="0.35">
      <c r="A414" s="45" t="s">
        <v>28</v>
      </c>
      <c r="B414" s="45">
        <v>2017</v>
      </c>
      <c r="C414" s="45" t="s">
        <v>65</v>
      </c>
      <c r="D414" s="45" t="s">
        <v>45</v>
      </c>
      <c r="E414" s="55"/>
      <c r="F414" s="55"/>
      <c r="G414" s="55"/>
      <c r="H414" s="60"/>
      <c r="I414" s="55"/>
      <c r="J414" s="55"/>
      <c r="K414" s="55"/>
      <c r="L414" s="55"/>
      <c r="M414" s="55"/>
      <c r="N414" s="55"/>
      <c r="O414" s="55">
        <v>300</v>
      </c>
      <c r="P414" s="58"/>
      <c r="Q414" s="55"/>
      <c r="R414" s="55">
        <v>500</v>
      </c>
      <c r="S414" s="55"/>
      <c r="T414" s="55"/>
      <c r="U414" s="55"/>
      <c r="V414" s="55"/>
      <c r="W414" s="55"/>
      <c r="X414" s="55"/>
      <c r="Y414" s="55">
        <f t="shared" si="60"/>
        <v>0</v>
      </c>
      <c r="Z414">
        <f t="shared" si="61"/>
        <v>0</v>
      </c>
      <c r="AA414">
        <f t="shared" si="62"/>
        <v>0</v>
      </c>
      <c r="AB414">
        <f t="shared" si="63"/>
        <v>0</v>
      </c>
      <c r="AC414">
        <f t="shared" si="64"/>
        <v>0</v>
      </c>
      <c r="AD414">
        <f t="shared" si="65"/>
        <v>300</v>
      </c>
      <c r="AE414">
        <f t="shared" si="66"/>
        <v>500</v>
      </c>
      <c r="AF414">
        <f t="shared" si="67"/>
        <v>0</v>
      </c>
      <c r="AG414">
        <f t="shared" si="68"/>
        <v>0</v>
      </c>
      <c r="AH414">
        <f t="shared" si="69"/>
        <v>0</v>
      </c>
    </row>
    <row r="415" spans="1:34" ht="15.5" x14ac:dyDescent="0.35">
      <c r="A415" s="45" t="s">
        <v>28</v>
      </c>
      <c r="B415" s="45">
        <v>2017</v>
      </c>
      <c r="C415" s="45" t="s">
        <v>65</v>
      </c>
      <c r="D415" s="45" t="s">
        <v>46</v>
      </c>
      <c r="E415" s="55"/>
      <c r="F415" s="55"/>
      <c r="G415" s="55"/>
      <c r="H415" s="55"/>
      <c r="I415" s="55"/>
      <c r="J415" s="55"/>
      <c r="K415" s="57"/>
      <c r="L415" s="55"/>
      <c r="M415" s="55"/>
      <c r="N415" s="55">
        <v>2500</v>
      </c>
      <c r="O415" s="55"/>
      <c r="P415" s="55">
        <v>200</v>
      </c>
      <c r="Q415" s="55">
        <v>1000</v>
      </c>
      <c r="R415" s="55"/>
      <c r="S415" s="55"/>
      <c r="T415" s="55"/>
      <c r="U415" s="55"/>
      <c r="V415" s="55"/>
      <c r="W415" s="55"/>
      <c r="X415" s="55"/>
      <c r="Y415" s="55">
        <f t="shared" si="60"/>
        <v>0</v>
      </c>
      <c r="Z415">
        <f t="shared" si="61"/>
        <v>0</v>
      </c>
      <c r="AA415">
        <f t="shared" si="62"/>
        <v>0</v>
      </c>
      <c r="AB415">
        <f t="shared" si="63"/>
        <v>0</v>
      </c>
      <c r="AC415">
        <f t="shared" si="64"/>
        <v>2500</v>
      </c>
      <c r="AD415">
        <f t="shared" si="65"/>
        <v>200</v>
      </c>
      <c r="AE415">
        <f t="shared" si="66"/>
        <v>1000</v>
      </c>
      <c r="AF415">
        <f t="shared" si="67"/>
        <v>0</v>
      </c>
      <c r="AG415">
        <f t="shared" si="68"/>
        <v>0</v>
      </c>
      <c r="AH415">
        <f t="shared" si="69"/>
        <v>0</v>
      </c>
    </row>
    <row r="416" spans="1:34" x14ac:dyDescent="0.35">
      <c r="A416" s="45" t="s">
        <v>28</v>
      </c>
      <c r="B416" s="45">
        <v>2018</v>
      </c>
      <c r="C416" s="45" t="s">
        <v>43</v>
      </c>
      <c r="D416" s="45" t="s">
        <v>46</v>
      </c>
      <c r="E416" s="55"/>
      <c r="F416" s="55"/>
      <c r="G416" s="55"/>
      <c r="H416" s="55"/>
      <c r="I416" s="55"/>
      <c r="J416" s="55">
        <v>10000</v>
      </c>
      <c r="K416" s="55"/>
      <c r="L416" s="55"/>
      <c r="M416" s="55">
        <v>500</v>
      </c>
      <c r="N416" s="55"/>
      <c r="O416" s="55"/>
      <c r="P416" s="55"/>
      <c r="Q416" s="55"/>
      <c r="R416" s="55"/>
      <c r="S416" s="55"/>
      <c r="T416" s="55"/>
      <c r="U416" s="55"/>
      <c r="V416" s="55"/>
      <c r="W416" s="55"/>
      <c r="X416" s="55"/>
      <c r="Y416" s="55">
        <f t="shared" si="60"/>
        <v>0</v>
      </c>
      <c r="Z416">
        <f t="shared" si="61"/>
        <v>0</v>
      </c>
      <c r="AA416">
        <f t="shared" si="62"/>
        <v>10000</v>
      </c>
      <c r="AB416">
        <f t="shared" si="63"/>
        <v>0</v>
      </c>
      <c r="AC416">
        <f t="shared" si="64"/>
        <v>500</v>
      </c>
      <c r="AD416">
        <f t="shared" si="65"/>
        <v>0</v>
      </c>
      <c r="AE416">
        <f t="shared" si="66"/>
        <v>0</v>
      </c>
      <c r="AF416">
        <f t="shared" si="67"/>
        <v>0</v>
      </c>
      <c r="AG416">
        <f t="shared" si="68"/>
        <v>0</v>
      </c>
      <c r="AH416">
        <f t="shared" si="69"/>
        <v>0</v>
      </c>
    </row>
    <row r="417" spans="1:34" ht="15.5" x14ac:dyDescent="0.35">
      <c r="A417" s="45" t="s">
        <v>28</v>
      </c>
      <c r="B417" s="45">
        <v>2018</v>
      </c>
      <c r="C417" s="45" t="s">
        <v>43</v>
      </c>
      <c r="D417" s="45" t="s">
        <v>139</v>
      </c>
      <c r="E417" s="55"/>
      <c r="F417" s="55"/>
      <c r="G417" s="55">
        <v>2500</v>
      </c>
      <c r="H417" s="55"/>
      <c r="I417" s="55"/>
      <c r="J417" s="55"/>
      <c r="K417" s="59"/>
      <c r="L417" s="55">
        <v>1000</v>
      </c>
      <c r="M417" s="55"/>
      <c r="N417" s="55"/>
      <c r="O417" s="55"/>
      <c r="P417" s="55"/>
      <c r="Q417" s="55"/>
      <c r="R417" s="55"/>
      <c r="S417" s="55"/>
      <c r="T417" s="55"/>
      <c r="U417" s="55"/>
      <c r="V417" s="55"/>
      <c r="W417" s="55"/>
      <c r="X417" s="55"/>
      <c r="Y417" s="55">
        <f t="shared" si="60"/>
        <v>0</v>
      </c>
      <c r="Z417">
        <f t="shared" si="61"/>
        <v>2500</v>
      </c>
      <c r="AA417">
        <f t="shared" si="62"/>
        <v>0</v>
      </c>
      <c r="AB417">
        <f t="shared" si="63"/>
        <v>1000</v>
      </c>
      <c r="AC417">
        <f t="shared" si="64"/>
        <v>0</v>
      </c>
      <c r="AD417">
        <f t="shared" si="65"/>
        <v>0</v>
      </c>
      <c r="AE417">
        <f t="shared" si="66"/>
        <v>0</v>
      </c>
      <c r="AF417">
        <f t="shared" si="67"/>
        <v>0</v>
      </c>
      <c r="AG417">
        <f t="shared" si="68"/>
        <v>0</v>
      </c>
      <c r="AH417">
        <f t="shared" si="69"/>
        <v>0</v>
      </c>
    </row>
    <row r="418" spans="1:34" ht="15.5" x14ac:dyDescent="0.35">
      <c r="A418" s="45" t="s">
        <v>28</v>
      </c>
      <c r="B418" s="45">
        <v>2018</v>
      </c>
      <c r="C418" s="45" t="s">
        <v>65</v>
      </c>
      <c r="D418" s="45" t="s">
        <v>139</v>
      </c>
      <c r="E418" s="55"/>
      <c r="F418" s="55">
        <v>500</v>
      </c>
      <c r="G418" s="55"/>
      <c r="H418" s="55"/>
      <c r="I418" s="55"/>
      <c r="J418" s="55"/>
      <c r="K418" s="55">
        <v>50</v>
      </c>
      <c r="L418" s="55"/>
      <c r="M418" s="55"/>
      <c r="N418" s="55"/>
      <c r="O418" s="55"/>
      <c r="P418" s="55"/>
      <c r="Q418" s="55"/>
      <c r="R418" s="55"/>
      <c r="S418" s="55"/>
      <c r="T418" s="56"/>
      <c r="U418" s="55"/>
      <c r="V418" s="55"/>
      <c r="W418" s="55"/>
      <c r="X418" s="55"/>
      <c r="Y418" s="55">
        <f t="shared" si="60"/>
        <v>500</v>
      </c>
      <c r="Z418">
        <f t="shared" si="61"/>
        <v>0</v>
      </c>
      <c r="AA418">
        <f t="shared" si="62"/>
        <v>0</v>
      </c>
      <c r="AB418">
        <f t="shared" si="63"/>
        <v>50</v>
      </c>
      <c r="AC418">
        <f t="shared" si="64"/>
        <v>0</v>
      </c>
      <c r="AD418">
        <f t="shared" si="65"/>
        <v>0</v>
      </c>
      <c r="AE418">
        <f t="shared" si="66"/>
        <v>0</v>
      </c>
      <c r="AF418">
        <f t="shared" si="67"/>
        <v>0</v>
      </c>
      <c r="AG418">
        <f t="shared" si="68"/>
        <v>0</v>
      </c>
      <c r="AH418">
        <f t="shared" si="69"/>
        <v>0</v>
      </c>
    </row>
    <row r="419" spans="1:34" x14ac:dyDescent="0.35">
      <c r="A419" s="45" t="s">
        <v>28</v>
      </c>
      <c r="B419" s="45">
        <v>2018</v>
      </c>
      <c r="C419" s="45" t="s">
        <v>65</v>
      </c>
      <c r="D419" s="45" t="s">
        <v>69</v>
      </c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>
        <v>150</v>
      </c>
      <c r="U419" s="55"/>
      <c r="V419" s="55"/>
      <c r="W419" s="55"/>
      <c r="X419" s="55"/>
      <c r="Y419" s="55">
        <f t="shared" si="60"/>
        <v>0</v>
      </c>
      <c r="Z419">
        <f t="shared" si="61"/>
        <v>0</v>
      </c>
      <c r="AA419">
        <f t="shared" si="62"/>
        <v>0</v>
      </c>
      <c r="AB419">
        <f t="shared" si="63"/>
        <v>0</v>
      </c>
      <c r="AC419">
        <f t="shared" si="64"/>
        <v>0</v>
      </c>
      <c r="AD419">
        <f t="shared" si="65"/>
        <v>0</v>
      </c>
      <c r="AE419">
        <f t="shared" si="66"/>
        <v>0</v>
      </c>
      <c r="AF419">
        <f t="shared" si="67"/>
        <v>150</v>
      </c>
      <c r="AG419">
        <f t="shared" si="68"/>
        <v>0</v>
      </c>
      <c r="AH419">
        <f t="shared" si="69"/>
        <v>0</v>
      </c>
    </row>
    <row r="420" spans="1:34" ht="15.5" x14ac:dyDescent="0.35">
      <c r="A420" s="45" t="s">
        <v>28</v>
      </c>
      <c r="B420" s="45">
        <v>2018</v>
      </c>
      <c r="C420" s="45" t="s">
        <v>43</v>
      </c>
      <c r="D420" s="45" t="s">
        <v>140</v>
      </c>
      <c r="E420" s="55"/>
      <c r="F420" s="55"/>
      <c r="G420" s="55"/>
      <c r="H420" s="55"/>
      <c r="I420" s="55"/>
      <c r="J420" s="55"/>
      <c r="K420" s="59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55">
        <v>340</v>
      </c>
      <c r="W420" s="55"/>
      <c r="X420" s="55"/>
      <c r="Y420" s="55">
        <f t="shared" si="60"/>
        <v>0</v>
      </c>
      <c r="Z420">
        <f t="shared" si="61"/>
        <v>0</v>
      </c>
      <c r="AA420">
        <f t="shared" si="62"/>
        <v>0</v>
      </c>
      <c r="AB420">
        <f t="shared" si="63"/>
        <v>0</v>
      </c>
      <c r="AC420">
        <f t="shared" si="64"/>
        <v>0</v>
      </c>
      <c r="AD420">
        <f t="shared" si="65"/>
        <v>0</v>
      </c>
      <c r="AE420">
        <f t="shared" si="66"/>
        <v>0</v>
      </c>
      <c r="AF420">
        <f t="shared" si="67"/>
        <v>0</v>
      </c>
      <c r="AG420">
        <f t="shared" si="68"/>
        <v>340</v>
      </c>
      <c r="AH420">
        <f t="shared" si="69"/>
        <v>0</v>
      </c>
    </row>
    <row r="421" spans="1:34" ht="15.5" x14ac:dyDescent="0.35">
      <c r="A421" s="45" t="s">
        <v>28</v>
      </c>
      <c r="B421" s="45">
        <v>2019</v>
      </c>
      <c r="C421" s="45" t="s">
        <v>43</v>
      </c>
      <c r="D421" s="45" t="s">
        <v>141</v>
      </c>
      <c r="E421" s="55"/>
      <c r="F421" s="55">
        <v>500</v>
      </c>
      <c r="G421" s="55"/>
      <c r="H421" s="55"/>
      <c r="I421" s="55"/>
      <c r="J421" s="55"/>
      <c r="K421" s="55"/>
      <c r="L421" s="55"/>
      <c r="M421" s="55"/>
      <c r="N421" s="55"/>
      <c r="O421" s="55">
        <v>300</v>
      </c>
      <c r="P421" s="55"/>
      <c r="Q421" s="55"/>
      <c r="R421" s="56"/>
      <c r="S421" s="55"/>
      <c r="T421" s="55"/>
      <c r="U421" s="55"/>
      <c r="V421" s="55"/>
      <c r="W421" s="55"/>
      <c r="X421" s="55"/>
      <c r="Y421" s="55">
        <f t="shared" si="60"/>
        <v>500</v>
      </c>
      <c r="Z421">
        <f t="shared" si="61"/>
        <v>0</v>
      </c>
      <c r="AA421">
        <f t="shared" si="62"/>
        <v>0</v>
      </c>
      <c r="AB421">
        <f t="shared" si="63"/>
        <v>0</v>
      </c>
      <c r="AC421">
        <f t="shared" si="64"/>
        <v>0</v>
      </c>
      <c r="AD421">
        <f t="shared" si="65"/>
        <v>300</v>
      </c>
      <c r="AE421">
        <f t="shared" si="66"/>
        <v>0</v>
      </c>
      <c r="AF421">
        <f t="shared" si="67"/>
        <v>0</v>
      </c>
      <c r="AG421">
        <f t="shared" si="68"/>
        <v>0</v>
      </c>
      <c r="AH421">
        <f t="shared" si="69"/>
        <v>0</v>
      </c>
    </row>
    <row r="422" spans="1:34" ht="15.5" x14ac:dyDescent="0.35">
      <c r="A422" s="45" t="s">
        <v>28</v>
      </c>
      <c r="B422" s="45">
        <v>2019</v>
      </c>
      <c r="C422" s="45" t="s">
        <v>65</v>
      </c>
      <c r="D422" s="45" t="s">
        <v>69</v>
      </c>
      <c r="E422" s="55"/>
      <c r="F422" s="55"/>
      <c r="G422" s="55"/>
      <c r="H422" s="55"/>
      <c r="I422" s="55"/>
      <c r="J422" s="59"/>
      <c r="K422" s="55"/>
      <c r="L422" s="55">
        <v>300</v>
      </c>
      <c r="M422" s="55"/>
      <c r="N422" s="55">
        <v>2000</v>
      </c>
      <c r="O422" s="55"/>
      <c r="P422" s="55"/>
      <c r="Q422" s="55"/>
      <c r="R422" s="55"/>
      <c r="S422" s="55"/>
      <c r="T422" s="55"/>
      <c r="U422" s="55"/>
      <c r="V422" s="55">
        <v>300</v>
      </c>
      <c r="W422" s="55"/>
      <c r="X422" s="55"/>
      <c r="Y422" s="55">
        <f t="shared" si="60"/>
        <v>0</v>
      </c>
      <c r="Z422">
        <f t="shared" si="61"/>
        <v>0</v>
      </c>
      <c r="AA422">
        <f t="shared" si="62"/>
        <v>0</v>
      </c>
      <c r="AB422">
        <f t="shared" si="63"/>
        <v>300</v>
      </c>
      <c r="AC422">
        <f t="shared" si="64"/>
        <v>2000</v>
      </c>
      <c r="AD422">
        <f t="shared" si="65"/>
        <v>0</v>
      </c>
      <c r="AE422">
        <f t="shared" si="66"/>
        <v>0</v>
      </c>
      <c r="AF422">
        <f t="shared" si="67"/>
        <v>0</v>
      </c>
      <c r="AG422">
        <f t="shared" si="68"/>
        <v>300</v>
      </c>
      <c r="AH422">
        <f t="shared" si="69"/>
        <v>0</v>
      </c>
    </row>
    <row r="423" spans="1:34" ht="15.5" x14ac:dyDescent="0.35">
      <c r="A423" s="45" t="s">
        <v>28</v>
      </c>
      <c r="B423" s="45">
        <v>2019</v>
      </c>
      <c r="C423" s="45" t="s">
        <v>65</v>
      </c>
      <c r="D423" s="45" t="s">
        <v>142</v>
      </c>
      <c r="E423" s="55">
        <v>500</v>
      </c>
      <c r="F423" s="55"/>
      <c r="G423" s="55"/>
      <c r="H423" s="55"/>
      <c r="I423" s="55"/>
      <c r="J423" s="55"/>
      <c r="K423" s="55">
        <v>2500</v>
      </c>
      <c r="L423" s="55"/>
      <c r="M423" s="55"/>
      <c r="N423" s="55"/>
      <c r="O423" s="55"/>
      <c r="P423" s="55"/>
      <c r="Q423" s="55"/>
      <c r="R423" s="57"/>
      <c r="S423" s="55"/>
      <c r="T423" s="55"/>
      <c r="U423" s="55">
        <v>2500</v>
      </c>
      <c r="V423" s="55"/>
      <c r="W423" s="55"/>
      <c r="X423" s="55"/>
      <c r="Y423" s="55">
        <f t="shared" si="60"/>
        <v>500</v>
      </c>
      <c r="Z423">
        <f t="shared" si="61"/>
        <v>0</v>
      </c>
      <c r="AA423">
        <f t="shared" si="62"/>
        <v>0</v>
      </c>
      <c r="AB423">
        <f t="shared" si="63"/>
        <v>2500</v>
      </c>
      <c r="AC423">
        <f t="shared" si="64"/>
        <v>0</v>
      </c>
      <c r="AD423">
        <f t="shared" si="65"/>
        <v>0</v>
      </c>
      <c r="AE423">
        <f t="shared" si="66"/>
        <v>0</v>
      </c>
      <c r="AF423">
        <f t="shared" si="67"/>
        <v>0</v>
      </c>
      <c r="AG423">
        <f t="shared" si="68"/>
        <v>2500</v>
      </c>
      <c r="AH423">
        <f t="shared" si="69"/>
        <v>0</v>
      </c>
    </row>
    <row r="424" spans="1:34" x14ac:dyDescent="0.35">
      <c r="A424" s="45" t="s">
        <v>28</v>
      </c>
      <c r="B424" s="45">
        <v>2019</v>
      </c>
      <c r="C424" s="45" t="s">
        <v>43</v>
      </c>
      <c r="D424" s="45" t="s">
        <v>44</v>
      </c>
      <c r="E424" s="55">
        <v>300</v>
      </c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>
        <v>1000</v>
      </c>
      <c r="Q424" s="55">
        <v>10000</v>
      </c>
      <c r="R424" s="55"/>
      <c r="S424" s="55"/>
      <c r="T424" s="55">
        <v>500</v>
      </c>
      <c r="U424" s="55"/>
      <c r="V424" s="55"/>
      <c r="W424" s="55"/>
      <c r="X424" s="55">
        <v>12000</v>
      </c>
      <c r="Y424" s="55">
        <f t="shared" si="60"/>
        <v>300</v>
      </c>
      <c r="Z424">
        <f t="shared" si="61"/>
        <v>0</v>
      </c>
      <c r="AA424">
        <f t="shared" si="62"/>
        <v>0</v>
      </c>
      <c r="AB424">
        <f t="shared" si="63"/>
        <v>0</v>
      </c>
      <c r="AC424">
        <f t="shared" si="64"/>
        <v>0</v>
      </c>
      <c r="AD424">
        <f t="shared" si="65"/>
        <v>1000</v>
      </c>
      <c r="AE424">
        <f t="shared" si="66"/>
        <v>10000</v>
      </c>
      <c r="AF424">
        <f t="shared" si="67"/>
        <v>500</v>
      </c>
      <c r="AG424">
        <f t="shared" si="68"/>
        <v>0</v>
      </c>
      <c r="AH424">
        <f t="shared" si="69"/>
        <v>12000</v>
      </c>
    </row>
    <row r="425" spans="1:34" ht="15.5" x14ac:dyDescent="0.35">
      <c r="A425" s="45" t="s">
        <v>28</v>
      </c>
      <c r="B425" s="45">
        <v>2019</v>
      </c>
      <c r="C425" s="45" t="s">
        <v>43</v>
      </c>
      <c r="D425" s="45" t="s">
        <v>45</v>
      </c>
      <c r="E425" s="55"/>
      <c r="F425" s="55"/>
      <c r="G425" s="55">
        <v>2000</v>
      </c>
      <c r="H425" s="55">
        <v>1500</v>
      </c>
      <c r="I425" s="55"/>
      <c r="J425" s="55">
        <v>300</v>
      </c>
      <c r="K425" s="55"/>
      <c r="L425" s="55"/>
      <c r="M425" s="55"/>
      <c r="N425" s="55"/>
      <c r="O425" s="55">
        <v>700</v>
      </c>
      <c r="P425" s="55"/>
      <c r="Q425" s="55"/>
      <c r="R425" s="59"/>
      <c r="S425" s="55">
        <v>1000</v>
      </c>
      <c r="T425" s="55"/>
      <c r="U425" s="55"/>
      <c r="V425" s="55"/>
      <c r="W425" s="55"/>
      <c r="X425" s="55"/>
      <c r="Y425" s="55">
        <f t="shared" si="60"/>
        <v>0</v>
      </c>
      <c r="Z425">
        <f t="shared" si="61"/>
        <v>3500</v>
      </c>
      <c r="AA425">
        <f t="shared" si="62"/>
        <v>300</v>
      </c>
      <c r="AB425">
        <f t="shared" si="63"/>
        <v>0</v>
      </c>
      <c r="AC425">
        <f t="shared" si="64"/>
        <v>0</v>
      </c>
      <c r="AD425">
        <f t="shared" si="65"/>
        <v>700</v>
      </c>
      <c r="AE425">
        <f t="shared" si="66"/>
        <v>0</v>
      </c>
      <c r="AF425">
        <f t="shared" si="67"/>
        <v>1000</v>
      </c>
      <c r="AG425">
        <f t="shared" si="68"/>
        <v>0</v>
      </c>
      <c r="AH425">
        <f t="shared" si="69"/>
        <v>0</v>
      </c>
    </row>
    <row r="426" spans="1:34" ht="15.5" x14ac:dyDescent="0.35">
      <c r="A426" s="45" t="s">
        <v>28</v>
      </c>
      <c r="B426" s="45">
        <v>2019</v>
      </c>
      <c r="C426" s="45" t="s">
        <v>65</v>
      </c>
      <c r="D426" s="45" t="s">
        <v>44</v>
      </c>
      <c r="E426" s="55"/>
      <c r="F426" s="55"/>
      <c r="G426" s="55"/>
      <c r="H426" s="55"/>
      <c r="I426" s="55"/>
      <c r="J426" s="56">
        <v>3000</v>
      </c>
      <c r="K426" s="55"/>
      <c r="L426" s="55"/>
      <c r="M426" s="55">
        <v>1000</v>
      </c>
      <c r="N426" s="55"/>
      <c r="O426" s="55"/>
      <c r="P426" s="55"/>
      <c r="Q426" s="55"/>
      <c r="R426" s="55">
        <v>50</v>
      </c>
      <c r="S426" s="55"/>
      <c r="T426" s="55"/>
      <c r="U426" s="55"/>
      <c r="V426" s="55"/>
      <c r="W426" s="55"/>
      <c r="X426" s="55"/>
      <c r="Y426" s="55">
        <f t="shared" si="60"/>
        <v>0</v>
      </c>
      <c r="Z426">
        <f t="shared" si="61"/>
        <v>0</v>
      </c>
      <c r="AA426">
        <f t="shared" si="62"/>
        <v>3000</v>
      </c>
      <c r="AB426">
        <f t="shared" si="63"/>
        <v>0</v>
      </c>
      <c r="AC426">
        <f t="shared" si="64"/>
        <v>1000</v>
      </c>
      <c r="AD426">
        <f t="shared" si="65"/>
        <v>0</v>
      </c>
      <c r="AE426">
        <f t="shared" si="66"/>
        <v>50</v>
      </c>
      <c r="AF426">
        <f t="shared" si="67"/>
        <v>0</v>
      </c>
      <c r="AG426">
        <f t="shared" si="68"/>
        <v>0</v>
      </c>
      <c r="AH426">
        <f t="shared" si="69"/>
        <v>0</v>
      </c>
    </row>
    <row r="427" spans="1:34" ht="15.5" x14ac:dyDescent="0.35">
      <c r="A427" s="45" t="s">
        <v>28</v>
      </c>
      <c r="B427" s="45">
        <v>2019</v>
      </c>
      <c r="C427" s="45" t="s">
        <v>65</v>
      </c>
      <c r="D427" s="45" t="s">
        <v>45</v>
      </c>
      <c r="E427" s="55"/>
      <c r="F427" s="55"/>
      <c r="G427" s="55"/>
      <c r="H427" s="55"/>
      <c r="I427" s="55"/>
      <c r="J427" s="55">
        <v>2000</v>
      </c>
      <c r="K427" s="55"/>
      <c r="L427" s="55"/>
      <c r="M427" s="55"/>
      <c r="N427" s="55"/>
      <c r="O427" s="55"/>
      <c r="P427" s="55"/>
      <c r="Q427" s="55"/>
      <c r="R427" s="55"/>
      <c r="S427" s="56"/>
      <c r="T427" s="55"/>
      <c r="U427" s="55"/>
      <c r="V427" s="55"/>
      <c r="W427" s="55"/>
      <c r="X427" s="55"/>
      <c r="Y427" s="55">
        <f t="shared" si="60"/>
        <v>0</v>
      </c>
      <c r="Z427">
        <f t="shared" si="61"/>
        <v>0</v>
      </c>
      <c r="AA427">
        <f t="shared" si="62"/>
        <v>2000</v>
      </c>
      <c r="AB427">
        <f t="shared" si="63"/>
        <v>0</v>
      </c>
      <c r="AC427">
        <f t="shared" si="64"/>
        <v>0</v>
      </c>
      <c r="AD427">
        <f t="shared" si="65"/>
        <v>0</v>
      </c>
      <c r="AE427">
        <f t="shared" si="66"/>
        <v>0</v>
      </c>
      <c r="AF427">
        <f t="shared" si="67"/>
        <v>0</v>
      </c>
      <c r="AG427">
        <f t="shared" si="68"/>
        <v>0</v>
      </c>
      <c r="AH427">
        <f t="shared" si="69"/>
        <v>0</v>
      </c>
    </row>
    <row r="428" spans="1:34" ht="15.5" x14ac:dyDescent="0.35">
      <c r="A428" s="45" t="s">
        <v>28</v>
      </c>
      <c r="B428" s="45">
        <v>2019</v>
      </c>
      <c r="C428" s="45" t="s">
        <v>43</v>
      </c>
      <c r="D428" s="45" t="s">
        <v>44</v>
      </c>
      <c r="E428" s="55"/>
      <c r="F428" s="55"/>
      <c r="G428" s="55"/>
      <c r="H428" s="55"/>
      <c r="I428" s="55">
        <v>1500</v>
      </c>
      <c r="J428" s="55"/>
      <c r="K428" s="55"/>
      <c r="L428" s="55"/>
      <c r="M428" s="55"/>
      <c r="N428" s="55"/>
      <c r="O428" s="55"/>
      <c r="P428" s="60"/>
      <c r="Q428" s="55"/>
      <c r="R428" s="55"/>
      <c r="S428" s="55"/>
      <c r="T428" s="55"/>
      <c r="U428" s="55"/>
      <c r="V428" s="55"/>
      <c r="W428" s="55">
        <v>300</v>
      </c>
      <c r="X428" s="55"/>
      <c r="Y428" s="55">
        <f t="shared" si="60"/>
        <v>0</v>
      </c>
      <c r="Z428">
        <f t="shared" si="61"/>
        <v>0</v>
      </c>
      <c r="AA428">
        <f t="shared" si="62"/>
        <v>1500</v>
      </c>
      <c r="AB428">
        <f t="shared" si="63"/>
        <v>0</v>
      </c>
      <c r="AC428">
        <f t="shared" si="64"/>
        <v>0</v>
      </c>
      <c r="AD428">
        <f t="shared" si="65"/>
        <v>0</v>
      </c>
      <c r="AE428">
        <f t="shared" si="66"/>
        <v>0</v>
      </c>
      <c r="AF428">
        <f t="shared" si="67"/>
        <v>0</v>
      </c>
      <c r="AG428">
        <f t="shared" si="68"/>
        <v>0</v>
      </c>
      <c r="AH428">
        <f t="shared" si="69"/>
        <v>300</v>
      </c>
    </row>
    <row r="429" spans="1:34" ht="15.5" x14ac:dyDescent="0.35">
      <c r="A429" s="45" t="s">
        <v>28</v>
      </c>
      <c r="B429" s="45">
        <v>2020</v>
      </c>
      <c r="C429" s="45" t="s">
        <v>43</v>
      </c>
      <c r="D429" s="45" t="s">
        <v>45</v>
      </c>
      <c r="E429" s="55"/>
      <c r="F429" s="55"/>
      <c r="G429" s="55"/>
      <c r="H429" s="55">
        <v>300</v>
      </c>
      <c r="I429" s="55"/>
      <c r="J429" s="55"/>
      <c r="K429" s="55"/>
      <c r="L429" s="55">
        <v>2500</v>
      </c>
      <c r="M429" s="55"/>
      <c r="N429" s="55"/>
      <c r="O429" s="55"/>
      <c r="P429" s="55"/>
      <c r="Q429" s="55"/>
      <c r="R429" s="55"/>
      <c r="S429" s="57"/>
      <c r="T429" s="55"/>
      <c r="U429" s="55"/>
      <c r="V429" s="55">
        <v>2500</v>
      </c>
      <c r="W429" s="55"/>
      <c r="X429" s="55"/>
      <c r="Y429" s="55">
        <f t="shared" si="60"/>
        <v>0</v>
      </c>
      <c r="Z429">
        <f t="shared" si="61"/>
        <v>300</v>
      </c>
      <c r="AA429">
        <f t="shared" si="62"/>
        <v>0</v>
      </c>
      <c r="AB429">
        <f t="shared" si="63"/>
        <v>2500</v>
      </c>
      <c r="AC429">
        <f t="shared" si="64"/>
        <v>0</v>
      </c>
      <c r="AD429">
        <f t="shared" si="65"/>
        <v>0</v>
      </c>
      <c r="AE429">
        <f t="shared" si="66"/>
        <v>0</v>
      </c>
      <c r="AF429">
        <f t="shared" si="67"/>
        <v>0</v>
      </c>
      <c r="AG429">
        <f t="shared" si="68"/>
        <v>2500</v>
      </c>
      <c r="AH429">
        <f t="shared" si="69"/>
        <v>0</v>
      </c>
    </row>
    <row r="430" spans="1:34" x14ac:dyDescent="0.35">
      <c r="A430" s="45" t="s">
        <v>28</v>
      </c>
      <c r="B430" s="45">
        <v>2020</v>
      </c>
      <c r="C430" s="45" t="s">
        <v>65</v>
      </c>
      <c r="D430" s="45" t="s">
        <v>46</v>
      </c>
      <c r="E430" s="55"/>
      <c r="F430" s="55"/>
      <c r="G430" s="55">
        <v>2500</v>
      </c>
      <c r="H430" s="55"/>
      <c r="I430" s="55"/>
      <c r="J430" s="55"/>
      <c r="K430" s="55">
        <v>500</v>
      </c>
      <c r="L430" s="55"/>
      <c r="M430" s="55"/>
      <c r="N430" s="55"/>
      <c r="O430" s="55"/>
      <c r="P430" s="55"/>
      <c r="Q430" s="55"/>
      <c r="R430" s="55">
        <v>10000</v>
      </c>
      <c r="S430" s="55"/>
      <c r="T430" s="55"/>
      <c r="U430" s="55">
        <v>500</v>
      </c>
      <c r="V430" s="55"/>
      <c r="W430" s="55"/>
      <c r="X430" s="55"/>
      <c r="Y430" s="55">
        <f t="shared" si="60"/>
        <v>0</v>
      </c>
      <c r="Z430">
        <f t="shared" si="61"/>
        <v>2500</v>
      </c>
      <c r="AA430">
        <f t="shared" si="62"/>
        <v>0</v>
      </c>
      <c r="AB430">
        <f t="shared" si="63"/>
        <v>500</v>
      </c>
      <c r="AC430">
        <f t="shared" si="64"/>
        <v>0</v>
      </c>
      <c r="AD430">
        <f t="shared" si="65"/>
        <v>0</v>
      </c>
      <c r="AE430">
        <f t="shared" si="66"/>
        <v>10000</v>
      </c>
      <c r="AF430">
        <f t="shared" si="67"/>
        <v>0</v>
      </c>
      <c r="AG430">
        <f t="shared" si="68"/>
        <v>500</v>
      </c>
      <c r="AH430">
        <f t="shared" si="69"/>
        <v>0</v>
      </c>
    </row>
    <row r="431" spans="1:34" ht="15.5" x14ac:dyDescent="0.35">
      <c r="A431" s="45" t="s">
        <v>28</v>
      </c>
      <c r="B431" s="45">
        <v>2020</v>
      </c>
      <c r="C431" s="45" t="s">
        <v>65</v>
      </c>
      <c r="D431" s="45" t="s">
        <v>46</v>
      </c>
      <c r="E431" s="55"/>
      <c r="F431" s="55">
        <v>500</v>
      </c>
      <c r="G431" s="55"/>
      <c r="H431" s="55"/>
      <c r="I431" s="55"/>
      <c r="J431" s="55"/>
      <c r="K431" s="55"/>
      <c r="L431" s="55"/>
      <c r="M431" s="55"/>
      <c r="N431" s="55"/>
      <c r="O431" s="55">
        <v>2500</v>
      </c>
      <c r="P431" s="55"/>
      <c r="Q431" s="55"/>
      <c r="R431" s="55"/>
      <c r="S431" s="59"/>
      <c r="T431" s="55">
        <v>1000</v>
      </c>
      <c r="U431" s="55"/>
      <c r="V431" s="55"/>
      <c r="W431" s="55"/>
      <c r="X431" s="55"/>
      <c r="Y431" s="55">
        <f t="shared" si="60"/>
        <v>500</v>
      </c>
      <c r="Z431">
        <f t="shared" si="61"/>
        <v>0</v>
      </c>
      <c r="AA431">
        <f t="shared" si="62"/>
        <v>0</v>
      </c>
      <c r="AB431">
        <f t="shared" si="63"/>
        <v>0</v>
      </c>
      <c r="AC431">
        <f t="shared" si="64"/>
        <v>0</v>
      </c>
      <c r="AD431">
        <f t="shared" si="65"/>
        <v>2500</v>
      </c>
      <c r="AE431">
        <f t="shared" si="66"/>
        <v>0</v>
      </c>
      <c r="AF431">
        <f t="shared" si="67"/>
        <v>1000</v>
      </c>
      <c r="AG431">
        <f t="shared" si="68"/>
        <v>0</v>
      </c>
      <c r="AH431">
        <f t="shared" si="69"/>
        <v>0</v>
      </c>
    </row>
    <row r="432" spans="1:34" ht="15.5" x14ac:dyDescent="0.35">
      <c r="A432" s="45" t="s">
        <v>28</v>
      </c>
      <c r="B432" s="45">
        <v>2020</v>
      </c>
      <c r="C432" s="45" t="s">
        <v>43</v>
      </c>
      <c r="D432" s="45" t="s">
        <v>139</v>
      </c>
      <c r="E432" s="55"/>
      <c r="F432" s="55"/>
      <c r="G432" s="55"/>
      <c r="H432" s="55"/>
      <c r="I432" s="55"/>
      <c r="J432" s="55"/>
      <c r="K432" s="55"/>
      <c r="L432" s="55"/>
      <c r="M432" s="55"/>
      <c r="N432" s="55"/>
      <c r="O432" s="55"/>
      <c r="P432" s="55"/>
      <c r="Q432" s="55"/>
      <c r="R432" s="55"/>
      <c r="S432" s="55"/>
      <c r="T432" s="56"/>
      <c r="U432" s="55"/>
      <c r="V432" s="55">
        <v>12000</v>
      </c>
      <c r="W432" s="55">
        <v>2500</v>
      </c>
      <c r="X432" s="55"/>
      <c r="Y432" s="55">
        <f t="shared" si="60"/>
        <v>0</v>
      </c>
      <c r="Z432">
        <f t="shared" si="61"/>
        <v>0</v>
      </c>
      <c r="AA432">
        <f t="shared" si="62"/>
        <v>0</v>
      </c>
      <c r="AB432">
        <f t="shared" si="63"/>
        <v>0</v>
      </c>
      <c r="AC432">
        <f t="shared" si="64"/>
        <v>0</v>
      </c>
      <c r="AD432">
        <f t="shared" si="65"/>
        <v>0</v>
      </c>
      <c r="AE432">
        <f t="shared" si="66"/>
        <v>0</v>
      </c>
      <c r="AF432">
        <f t="shared" si="67"/>
        <v>0</v>
      </c>
      <c r="AG432">
        <f t="shared" si="68"/>
        <v>12000</v>
      </c>
      <c r="AH432">
        <f t="shared" si="69"/>
        <v>2500</v>
      </c>
    </row>
    <row r="433" spans="1:34" x14ac:dyDescent="0.35">
      <c r="A433" s="45" t="s">
        <v>28</v>
      </c>
      <c r="B433" s="45">
        <v>2020</v>
      </c>
      <c r="C433" s="45" t="s">
        <v>43</v>
      </c>
      <c r="D433" s="45" t="s">
        <v>139</v>
      </c>
      <c r="E433" s="55"/>
      <c r="F433" s="55"/>
      <c r="G433" s="55"/>
      <c r="H433" s="55"/>
      <c r="I433" s="55"/>
      <c r="J433" s="55"/>
      <c r="K433" s="55"/>
      <c r="L433" s="55"/>
      <c r="M433" s="55"/>
      <c r="N433" s="55"/>
      <c r="O433" s="55"/>
      <c r="P433" s="55"/>
      <c r="Q433" s="55"/>
      <c r="R433" s="55"/>
      <c r="S433" s="55"/>
      <c r="T433" s="55"/>
      <c r="U433" s="55"/>
      <c r="V433" s="55"/>
      <c r="W433" s="55"/>
      <c r="X433" s="55"/>
      <c r="Y433" s="55">
        <f t="shared" si="60"/>
        <v>0</v>
      </c>
      <c r="Z433">
        <f t="shared" si="61"/>
        <v>0</v>
      </c>
      <c r="AA433">
        <f t="shared" si="62"/>
        <v>0</v>
      </c>
      <c r="AB433">
        <f t="shared" si="63"/>
        <v>0</v>
      </c>
      <c r="AC433">
        <f t="shared" si="64"/>
        <v>0</v>
      </c>
      <c r="AD433">
        <f t="shared" si="65"/>
        <v>0</v>
      </c>
      <c r="AE433">
        <f t="shared" si="66"/>
        <v>0</v>
      </c>
      <c r="AF433">
        <f t="shared" si="67"/>
        <v>0</v>
      </c>
      <c r="AG433">
        <f t="shared" si="68"/>
        <v>0</v>
      </c>
      <c r="AH433">
        <f t="shared" si="69"/>
        <v>0</v>
      </c>
    </row>
    <row r="434" spans="1:34" ht="15.5" x14ac:dyDescent="0.35">
      <c r="A434" s="45" t="s">
        <v>28</v>
      </c>
      <c r="B434" s="45">
        <v>2020</v>
      </c>
      <c r="C434" s="45" t="s">
        <v>65</v>
      </c>
      <c r="D434" s="45" t="s">
        <v>69</v>
      </c>
      <c r="E434" s="55"/>
      <c r="F434" s="55"/>
      <c r="G434" s="55"/>
      <c r="H434" s="55"/>
      <c r="I434" s="55"/>
      <c r="J434" s="56">
        <v>8175</v>
      </c>
      <c r="K434" s="55"/>
      <c r="L434" s="55"/>
      <c r="M434" s="55"/>
      <c r="N434" s="55"/>
      <c r="O434" s="55"/>
      <c r="P434" s="55"/>
      <c r="Q434" s="55"/>
      <c r="R434" s="55"/>
      <c r="S434" s="55"/>
      <c r="T434" s="56"/>
      <c r="U434" s="55"/>
      <c r="V434" s="55"/>
      <c r="W434" s="55"/>
      <c r="X434" s="55"/>
      <c r="Y434" s="55">
        <f t="shared" si="60"/>
        <v>0</v>
      </c>
      <c r="Z434">
        <f t="shared" si="61"/>
        <v>0</v>
      </c>
      <c r="AA434">
        <f t="shared" si="62"/>
        <v>8175</v>
      </c>
      <c r="AB434">
        <f t="shared" si="63"/>
        <v>0</v>
      </c>
      <c r="AC434">
        <f t="shared" si="64"/>
        <v>0</v>
      </c>
      <c r="AD434">
        <f t="shared" si="65"/>
        <v>0</v>
      </c>
      <c r="AE434">
        <f t="shared" si="66"/>
        <v>0</v>
      </c>
      <c r="AF434">
        <f t="shared" si="67"/>
        <v>0</v>
      </c>
      <c r="AG434">
        <f t="shared" si="68"/>
        <v>0</v>
      </c>
      <c r="AH434">
        <f t="shared" si="69"/>
        <v>0</v>
      </c>
    </row>
    <row r="435" spans="1:34" x14ac:dyDescent="0.35">
      <c r="A435" s="45" t="s">
        <v>28</v>
      </c>
      <c r="B435" s="45">
        <v>2020</v>
      </c>
      <c r="C435" s="45" t="s">
        <v>65</v>
      </c>
      <c r="D435" s="45" t="s">
        <v>140</v>
      </c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>
        <v>2500</v>
      </c>
      <c r="Q435" s="55"/>
      <c r="R435" s="55"/>
      <c r="S435" s="55"/>
      <c r="T435" s="55"/>
      <c r="U435" s="55"/>
      <c r="V435" s="55"/>
      <c r="W435" s="55"/>
      <c r="X435" s="55"/>
      <c r="Y435" s="55">
        <f t="shared" si="60"/>
        <v>0</v>
      </c>
      <c r="Z435">
        <f t="shared" si="61"/>
        <v>0</v>
      </c>
      <c r="AA435">
        <f t="shared" si="62"/>
        <v>0</v>
      </c>
      <c r="AB435">
        <f t="shared" si="63"/>
        <v>0</v>
      </c>
      <c r="AC435">
        <f t="shared" si="64"/>
        <v>0</v>
      </c>
      <c r="AD435">
        <f t="shared" si="65"/>
        <v>2500</v>
      </c>
      <c r="AE435">
        <f t="shared" si="66"/>
        <v>0</v>
      </c>
      <c r="AF435">
        <f t="shared" si="67"/>
        <v>0</v>
      </c>
      <c r="AG435">
        <f t="shared" si="68"/>
        <v>0</v>
      </c>
      <c r="AH435">
        <f t="shared" si="69"/>
        <v>0</v>
      </c>
    </row>
    <row r="436" spans="1:34" x14ac:dyDescent="0.35">
      <c r="A436" s="45" t="s">
        <v>28</v>
      </c>
      <c r="B436" s="45">
        <v>2021</v>
      </c>
      <c r="C436" s="45" t="s">
        <v>43</v>
      </c>
      <c r="D436" s="45" t="s">
        <v>141</v>
      </c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55">
        <v>300</v>
      </c>
      <c r="W436" s="55"/>
      <c r="X436" s="55"/>
      <c r="Y436" s="55">
        <f t="shared" si="60"/>
        <v>0</v>
      </c>
      <c r="Z436">
        <f t="shared" si="61"/>
        <v>0</v>
      </c>
      <c r="AA436">
        <f t="shared" si="62"/>
        <v>0</v>
      </c>
      <c r="AB436">
        <f t="shared" si="63"/>
        <v>0</v>
      </c>
      <c r="AC436">
        <f t="shared" si="64"/>
        <v>0</v>
      </c>
      <c r="AD436">
        <f t="shared" si="65"/>
        <v>0</v>
      </c>
      <c r="AE436">
        <f t="shared" si="66"/>
        <v>0</v>
      </c>
      <c r="AF436">
        <f t="shared" si="67"/>
        <v>0</v>
      </c>
      <c r="AG436">
        <f t="shared" si="68"/>
        <v>300</v>
      </c>
      <c r="AH436">
        <f t="shared" si="69"/>
        <v>0</v>
      </c>
    </row>
    <row r="437" spans="1:34" ht="15.5" x14ac:dyDescent="0.35">
      <c r="A437" s="45" t="s">
        <v>28</v>
      </c>
      <c r="B437" s="45">
        <v>2021</v>
      </c>
      <c r="C437" s="45" t="s">
        <v>43</v>
      </c>
      <c r="D437" s="45" t="s">
        <v>69</v>
      </c>
      <c r="E437" s="55"/>
      <c r="F437" s="55"/>
      <c r="G437" s="55"/>
      <c r="H437" s="55">
        <v>300</v>
      </c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6"/>
      <c r="U437" s="55"/>
      <c r="V437" s="55"/>
      <c r="W437" s="55"/>
      <c r="X437" s="55"/>
      <c r="Y437" s="55">
        <f t="shared" si="60"/>
        <v>0</v>
      </c>
      <c r="Z437">
        <f t="shared" si="61"/>
        <v>300</v>
      </c>
      <c r="AA437">
        <f t="shared" si="62"/>
        <v>0</v>
      </c>
      <c r="AB437">
        <f t="shared" si="63"/>
        <v>0</v>
      </c>
      <c r="AC437">
        <f t="shared" si="64"/>
        <v>0</v>
      </c>
      <c r="AD437">
        <f t="shared" si="65"/>
        <v>0</v>
      </c>
      <c r="AE437">
        <f t="shared" si="66"/>
        <v>0</v>
      </c>
      <c r="AF437">
        <f t="shared" si="67"/>
        <v>0</v>
      </c>
      <c r="AG437">
        <f t="shared" si="68"/>
        <v>0</v>
      </c>
      <c r="AH437">
        <f t="shared" si="69"/>
        <v>0</v>
      </c>
    </row>
    <row r="438" spans="1:34" ht="15.5" x14ac:dyDescent="0.35">
      <c r="A438" s="45" t="s">
        <v>28</v>
      </c>
      <c r="B438" s="45">
        <v>2021</v>
      </c>
      <c r="C438" s="45" t="s">
        <v>65</v>
      </c>
      <c r="D438" s="45" t="s">
        <v>142</v>
      </c>
      <c r="E438" s="55"/>
      <c r="F438" s="55"/>
      <c r="G438" s="55">
        <v>2500</v>
      </c>
      <c r="H438" s="55"/>
      <c r="I438" s="55"/>
      <c r="J438" s="55"/>
      <c r="K438" s="55"/>
      <c r="L438" s="55">
        <v>208</v>
      </c>
      <c r="M438" s="55"/>
      <c r="N438" s="55"/>
      <c r="O438" s="55"/>
      <c r="P438" s="55"/>
      <c r="Q438" s="55"/>
      <c r="R438" s="56"/>
      <c r="S438" s="55"/>
      <c r="T438" s="55"/>
      <c r="U438" s="55"/>
      <c r="V438" s="55"/>
      <c r="W438" s="55"/>
      <c r="X438" s="55"/>
      <c r="Y438" s="55">
        <f t="shared" si="60"/>
        <v>0</v>
      </c>
      <c r="Z438">
        <f t="shared" si="61"/>
        <v>2500</v>
      </c>
      <c r="AA438">
        <f t="shared" si="62"/>
        <v>0</v>
      </c>
      <c r="AB438">
        <f t="shared" si="63"/>
        <v>208</v>
      </c>
      <c r="AC438">
        <f t="shared" si="64"/>
        <v>0</v>
      </c>
      <c r="AD438">
        <f t="shared" si="65"/>
        <v>0</v>
      </c>
      <c r="AE438">
        <f t="shared" si="66"/>
        <v>0</v>
      </c>
      <c r="AF438">
        <f t="shared" si="67"/>
        <v>0</v>
      </c>
      <c r="AG438">
        <f t="shared" si="68"/>
        <v>0</v>
      </c>
      <c r="AH438">
        <f t="shared" si="69"/>
        <v>0</v>
      </c>
    </row>
    <row r="439" spans="1:34" ht="15.5" x14ac:dyDescent="0.35">
      <c r="A439" s="45" t="s">
        <v>28</v>
      </c>
      <c r="B439" s="45">
        <v>2021</v>
      </c>
      <c r="C439" s="45" t="s">
        <v>65</v>
      </c>
      <c r="D439" s="45" t="s">
        <v>44</v>
      </c>
      <c r="E439" s="55"/>
      <c r="F439" s="55">
        <v>500</v>
      </c>
      <c r="G439" s="55"/>
      <c r="H439" s="55"/>
      <c r="I439" s="55"/>
      <c r="J439" s="55"/>
      <c r="K439" s="55"/>
      <c r="L439" s="55"/>
      <c r="M439" s="55">
        <v>510</v>
      </c>
      <c r="N439" s="55"/>
      <c r="O439" s="55"/>
      <c r="P439" s="55"/>
      <c r="Q439" s="55"/>
      <c r="R439" s="56"/>
      <c r="S439" s="55"/>
      <c r="T439" s="55"/>
      <c r="U439" s="55"/>
      <c r="V439" s="55"/>
      <c r="W439" s="55"/>
      <c r="X439" s="55"/>
      <c r="Y439" s="55">
        <f t="shared" si="60"/>
        <v>500</v>
      </c>
      <c r="Z439">
        <f t="shared" si="61"/>
        <v>0</v>
      </c>
      <c r="AA439">
        <f t="shared" si="62"/>
        <v>0</v>
      </c>
      <c r="AB439">
        <f t="shared" si="63"/>
        <v>0</v>
      </c>
      <c r="AC439">
        <f t="shared" si="64"/>
        <v>510</v>
      </c>
      <c r="AD439">
        <f t="shared" si="65"/>
        <v>0</v>
      </c>
      <c r="AE439">
        <f t="shared" si="66"/>
        <v>0</v>
      </c>
      <c r="AF439">
        <f t="shared" si="67"/>
        <v>0</v>
      </c>
      <c r="AG439">
        <f t="shared" si="68"/>
        <v>0</v>
      </c>
      <c r="AH439">
        <f t="shared" si="69"/>
        <v>0</v>
      </c>
    </row>
    <row r="440" spans="1:34" ht="15.5" x14ac:dyDescent="0.35">
      <c r="A440" s="45" t="s">
        <v>28</v>
      </c>
      <c r="B440" s="45">
        <v>2021</v>
      </c>
      <c r="C440" s="45" t="s">
        <v>43</v>
      </c>
      <c r="D440" s="45" t="s">
        <v>45</v>
      </c>
      <c r="E440" s="55">
        <v>1000</v>
      </c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6"/>
      <c r="U440" s="55"/>
      <c r="V440" s="55"/>
      <c r="W440" s="55">
        <v>2000</v>
      </c>
      <c r="X440" s="55"/>
      <c r="Y440" s="55">
        <f t="shared" si="60"/>
        <v>1000</v>
      </c>
      <c r="Z440">
        <f t="shared" si="61"/>
        <v>0</v>
      </c>
      <c r="AA440">
        <f t="shared" si="62"/>
        <v>0</v>
      </c>
      <c r="AB440">
        <f t="shared" si="63"/>
        <v>0</v>
      </c>
      <c r="AC440">
        <f t="shared" si="64"/>
        <v>0</v>
      </c>
      <c r="AD440">
        <f t="shared" si="65"/>
        <v>0</v>
      </c>
      <c r="AE440">
        <f t="shared" si="66"/>
        <v>0</v>
      </c>
      <c r="AF440">
        <f t="shared" si="67"/>
        <v>0</v>
      </c>
      <c r="AG440">
        <f t="shared" si="68"/>
        <v>0</v>
      </c>
      <c r="AH440">
        <f t="shared" si="69"/>
        <v>2000</v>
      </c>
    </row>
    <row r="441" spans="1:34" ht="15.5" x14ac:dyDescent="0.35">
      <c r="A441" s="45" t="s">
        <v>28</v>
      </c>
      <c r="B441" s="45">
        <v>2021</v>
      </c>
      <c r="C441" s="45" t="s">
        <v>43</v>
      </c>
      <c r="D441" s="45" t="s">
        <v>44</v>
      </c>
      <c r="E441" s="55"/>
      <c r="F441" s="55"/>
      <c r="G441" s="55"/>
      <c r="H441" s="55"/>
      <c r="I441" s="55"/>
      <c r="J441" s="55">
        <v>500</v>
      </c>
      <c r="K441" s="55"/>
      <c r="L441" s="55"/>
      <c r="M441" s="55"/>
      <c r="N441" s="55"/>
      <c r="O441" s="55"/>
      <c r="P441" s="55"/>
      <c r="Q441" s="55"/>
      <c r="R441" s="56"/>
      <c r="S441" s="55"/>
      <c r="T441" s="55"/>
      <c r="U441" s="55"/>
      <c r="V441" s="55"/>
      <c r="W441" s="55"/>
      <c r="X441" s="55"/>
      <c r="Y441" s="55">
        <f t="shared" si="60"/>
        <v>0</v>
      </c>
      <c r="Z441">
        <f t="shared" si="61"/>
        <v>0</v>
      </c>
      <c r="AA441">
        <f t="shared" si="62"/>
        <v>500</v>
      </c>
      <c r="AB441">
        <f t="shared" si="63"/>
        <v>0</v>
      </c>
      <c r="AC441">
        <f t="shared" si="64"/>
        <v>0</v>
      </c>
      <c r="AD441">
        <f t="shared" si="65"/>
        <v>0</v>
      </c>
      <c r="AE441">
        <f t="shared" si="66"/>
        <v>0</v>
      </c>
      <c r="AF441">
        <f t="shared" si="67"/>
        <v>0</v>
      </c>
      <c r="AG441">
        <f t="shared" si="68"/>
        <v>0</v>
      </c>
      <c r="AH441">
        <f t="shared" si="69"/>
        <v>0</v>
      </c>
    </row>
    <row r="442" spans="1:34" ht="15.5" x14ac:dyDescent="0.35">
      <c r="A442" s="45" t="s">
        <v>28</v>
      </c>
      <c r="B442" s="45">
        <v>2021</v>
      </c>
      <c r="C442" s="45" t="s">
        <v>65</v>
      </c>
      <c r="D442" s="45" t="s">
        <v>45</v>
      </c>
      <c r="E442" s="59"/>
      <c r="F442" s="55"/>
      <c r="G442" s="55"/>
      <c r="H442" s="55"/>
      <c r="I442" s="55"/>
      <c r="J442" s="55"/>
      <c r="K442" s="55"/>
      <c r="L442" s="55"/>
      <c r="M442" s="59"/>
      <c r="N442" s="55"/>
      <c r="O442" s="55"/>
      <c r="P442" s="55"/>
      <c r="Q442" s="55"/>
      <c r="R442" s="55"/>
      <c r="S442" s="55"/>
      <c r="T442" s="55">
        <v>200</v>
      </c>
      <c r="U442" s="55"/>
      <c r="V442" s="55"/>
      <c r="W442" s="55"/>
      <c r="X442" s="55"/>
      <c r="Y442" s="55">
        <f t="shared" si="60"/>
        <v>0</v>
      </c>
      <c r="Z442">
        <f t="shared" si="61"/>
        <v>0</v>
      </c>
      <c r="AA442">
        <f t="shared" si="62"/>
        <v>0</v>
      </c>
      <c r="AB442">
        <f t="shared" si="63"/>
        <v>0</v>
      </c>
      <c r="AC442">
        <f t="shared" si="64"/>
        <v>0</v>
      </c>
      <c r="AD442">
        <f t="shared" si="65"/>
        <v>0</v>
      </c>
      <c r="AE442">
        <f t="shared" si="66"/>
        <v>0</v>
      </c>
      <c r="AF442">
        <f t="shared" si="67"/>
        <v>200</v>
      </c>
      <c r="AG442">
        <f t="shared" si="68"/>
        <v>0</v>
      </c>
      <c r="AH442">
        <f t="shared" si="69"/>
        <v>0</v>
      </c>
    </row>
    <row r="443" spans="1:34" ht="15.5" x14ac:dyDescent="0.35">
      <c r="A443" s="45" t="s">
        <v>28</v>
      </c>
      <c r="B443" s="45">
        <v>2021</v>
      </c>
      <c r="C443" s="45" t="s">
        <v>65</v>
      </c>
      <c r="D443" s="45" t="s">
        <v>44</v>
      </c>
      <c r="E443" s="55"/>
      <c r="F443" s="55"/>
      <c r="G443" s="55"/>
      <c r="H443" s="55"/>
      <c r="I443" s="55"/>
      <c r="J443" s="55"/>
      <c r="K443" s="55"/>
      <c r="L443" s="55"/>
      <c r="M443" s="59"/>
      <c r="N443" s="55">
        <v>500</v>
      </c>
      <c r="O443" s="55"/>
      <c r="P443" s="55"/>
      <c r="Q443" s="55"/>
      <c r="R443" s="55"/>
      <c r="S443" s="55"/>
      <c r="T443" s="55"/>
      <c r="U443" s="55">
        <v>60</v>
      </c>
      <c r="V443" s="55"/>
      <c r="W443" s="55"/>
      <c r="X443" s="55"/>
      <c r="Y443" s="55">
        <f t="shared" si="60"/>
        <v>0</v>
      </c>
      <c r="Z443">
        <f t="shared" si="61"/>
        <v>0</v>
      </c>
      <c r="AA443">
        <f t="shared" si="62"/>
        <v>0</v>
      </c>
      <c r="AB443">
        <f t="shared" si="63"/>
        <v>0</v>
      </c>
      <c r="AC443">
        <f t="shared" si="64"/>
        <v>500</v>
      </c>
      <c r="AD443">
        <f t="shared" si="65"/>
        <v>0</v>
      </c>
      <c r="AE443">
        <f t="shared" si="66"/>
        <v>0</v>
      </c>
      <c r="AF443">
        <f t="shared" si="67"/>
        <v>0</v>
      </c>
      <c r="AG443">
        <f t="shared" si="68"/>
        <v>60</v>
      </c>
      <c r="AH443">
        <f t="shared" si="69"/>
        <v>0</v>
      </c>
    </row>
    <row r="444" spans="1:34" x14ac:dyDescent="0.35">
      <c r="A444" s="45" t="s">
        <v>28</v>
      </c>
      <c r="B444" s="45">
        <v>2021</v>
      </c>
      <c r="C444" s="45" t="s">
        <v>43</v>
      </c>
      <c r="D444" s="45" t="s">
        <v>45</v>
      </c>
      <c r="E444" s="55"/>
      <c r="F444" s="55"/>
      <c r="G444" s="55"/>
      <c r="H444" s="55">
        <v>500</v>
      </c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55"/>
      <c r="W444" s="55"/>
      <c r="X444" s="55"/>
      <c r="Y444" s="55">
        <f t="shared" si="60"/>
        <v>0</v>
      </c>
      <c r="Z444">
        <f t="shared" si="61"/>
        <v>500</v>
      </c>
      <c r="AA444">
        <f t="shared" si="62"/>
        <v>0</v>
      </c>
      <c r="AB444">
        <f t="shared" si="63"/>
        <v>0</v>
      </c>
      <c r="AC444">
        <f t="shared" si="64"/>
        <v>0</v>
      </c>
      <c r="AD444">
        <f t="shared" si="65"/>
        <v>0</v>
      </c>
      <c r="AE444">
        <f t="shared" si="66"/>
        <v>0</v>
      </c>
      <c r="AF444">
        <f t="shared" si="67"/>
        <v>0</v>
      </c>
      <c r="AG444">
        <f t="shared" si="68"/>
        <v>0</v>
      </c>
      <c r="AH444">
        <f t="shared" si="69"/>
        <v>0</v>
      </c>
    </row>
    <row r="445" spans="1:34" ht="15.5" x14ac:dyDescent="0.35">
      <c r="A445" s="45" t="s">
        <v>28</v>
      </c>
      <c r="B445" s="45">
        <v>2021</v>
      </c>
      <c r="C445" s="45" t="s">
        <v>43</v>
      </c>
      <c r="D445" s="45" t="s">
        <v>46</v>
      </c>
      <c r="E445" s="55">
        <v>110</v>
      </c>
      <c r="F445" s="55"/>
      <c r="G445" s="55"/>
      <c r="H445" s="55">
        <v>300</v>
      </c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6">
        <v>24981.781999999999</v>
      </c>
      <c r="T445" s="55"/>
      <c r="U445" s="55"/>
      <c r="V445" s="55"/>
      <c r="W445" s="55"/>
      <c r="X445" s="55"/>
      <c r="Y445" s="55">
        <f t="shared" si="60"/>
        <v>110</v>
      </c>
      <c r="Z445">
        <f t="shared" si="61"/>
        <v>300</v>
      </c>
      <c r="AA445">
        <f t="shared" si="62"/>
        <v>0</v>
      </c>
      <c r="AB445">
        <f t="shared" si="63"/>
        <v>0</v>
      </c>
      <c r="AC445">
        <f t="shared" si="64"/>
        <v>0</v>
      </c>
      <c r="AD445">
        <f t="shared" si="65"/>
        <v>0</v>
      </c>
      <c r="AE445">
        <f t="shared" si="66"/>
        <v>0</v>
      </c>
      <c r="AF445">
        <f t="shared" si="67"/>
        <v>24981.781999999999</v>
      </c>
      <c r="AG445">
        <f t="shared" si="68"/>
        <v>0</v>
      </c>
      <c r="AH445">
        <f t="shared" si="69"/>
        <v>0</v>
      </c>
    </row>
    <row r="446" spans="1:34" x14ac:dyDescent="0.35">
      <c r="A446" s="45" t="s">
        <v>28</v>
      </c>
      <c r="B446" s="45">
        <v>2021</v>
      </c>
      <c r="C446" s="45" t="s">
        <v>65</v>
      </c>
      <c r="D446" s="45" t="s">
        <v>46</v>
      </c>
      <c r="E446" s="55"/>
      <c r="F446" s="55"/>
      <c r="G446" s="55"/>
      <c r="H446" s="55"/>
      <c r="I446" s="55"/>
      <c r="J446" s="55">
        <v>2000</v>
      </c>
      <c r="K446" s="55">
        <v>1500</v>
      </c>
      <c r="L446" s="55"/>
      <c r="M446" s="55">
        <v>300</v>
      </c>
      <c r="N446" s="55"/>
      <c r="O446" s="55"/>
      <c r="P446" s="55"/>
      <c r="Q446" s="55"/>
      <c r="R446" s="55"/>
      <c r="S446" s="55"/>
      <c r="T446" s="55"/>
      <c r="U446" s="55"/>
      <c r="V446" s="55"/>
      <c r="W446" s="55"/>
      <c r="X446" s="55"/>
      <c r="Y446" s="55">
        <f t="shared" si="60"/>
        <v>0</v>
      </c>
      <c r="Z446">
        <f t="shared" si="61"/>
        <v>0</v>
      </c>
      <c r="AA446">
        <f t="shared" si="62"/>
        <v>2000</v>
      </c>
      <c r="AB446">
        <f t="shared" si="63"/>
        <v>1500</v>
      </c>
      <c r="AC446">
        <f t="shared" si="64"/>
        <v>300</v>
      </c>
      <c r="AD446">
        <f t="shared" si="65"/>
        <v>0</v>
      </c>
      <c r="AE446">
        <f t="shared" si="66"/>
        <v>0</v>
      </c>
      <c r="AF446">
        <f t="shared" si="67"/>
        <v>0</v>
      </c>
      <c r="AG446">
        <f t="shared" si="68"/>
        <v>0</v>
      </c>
      <c r="AH446">
        <f t="shared" si="69"/>
        <v>0</v>
      </c>
    </row>
    <row r="447" spans="1:34" ht="15.5" x14ac:dyDescent="0.35">
      <c r="A447" s="45" t="s">
        <v>28</v>
      </c>
      <c r="B447" s="45">
        <v>2021</v>
      </c>
      <c r="C447" s="45" t="s">
        <v>65</v>
      </c>
      <c r="D447" s="45" t="s">
        <v>139</v>
      </c>
      <c r="E447" s="55"/>
      <c r="F447" s="55"/>
      <c r="G447" s="55"/>
      <c r="H447" s="55"/>
      <c r="I447" s="55"/>
      <c r="J447" s="55"/>
      <c r="K447" s="55"/>
      <c r="L447" s="55"/>
      <c r="M447" s="56">
        <v>3000</v>
      </c>
      <c r="N447" s="55"/>
      <c r="O447" s="55"/>
      <c r="P447" s="55"/>
      <c r="Q447" s="55"/>
      <c r="R447" s="55"/>
      <c r="S447" s="55"/>
      <c r="T447" s="55"/>
      <c r="U447" s="55"/>
      <c r="V447" s="55"/>
      <c r="W447" s="55"/>
      <c r="X447" s="55"/>
      <c r="Y447" s="55">
        <f t="shared" si="60"/>
        <v>0</v>
      </c>
      <c r="Z447">
        <f t="shared" si="61"/>
        <v>0</v>
      </c>
      <c r="AA447">
        <f t="shared" si="62"/>
        <v>0</v>
      </c>
      <c r="AB447">
        <f t="shared" si="63"/>
        <v>0</v>
      </c>
      <c r="AC447">
        <f t="shared" si="64"/>
        <v>3000</v>
      </c>
      <c r="AD447">
        <f t="shared" si="65"/>
        <v>0</v>
      </c>
      <c r="AE447">
        <f t="shared" si="66"/>
        <v>0</v>
      </c>
      <c r="AF447">
        <f t="shared" si="67"/>
        <v>0</v>
      </c>
      <c r="AG447">
        <f t="shared" si="68"/>
        <v>0</v>
      </c>
      <c r="AH447">
        <f t="shared" si="69"/>
        <v>0</v>
      </c>
    </row>
    <row r="448" spans="1:34" x14ac:dyDescent="0.35">
      <c r="A448" s="45" t="s">
        <v>28</v>
      </c>
      <c r="B448" s="45">
        <v>2021</v>
      </c>
      <c r="C448" s="45" t="s">
        <v>43</v>
      </c>
      <c r="D448" s="45" t="s">
        <v>139</v>
      </c>
      <c r="E448" s="55"/>
      <c r="F448" s="55"/>
      <c r="G448" s="55"/>
      <c r="H448" s="55"/>
      <c r="I448" s="55"/>
      <c r="J448" s="55"/>
      <c r="K448" s="55"/>
      <c r="L448" s="55"/>
      <c r="M448" s="55">
        <v>2000</v>
      </c>
      <c r="N448" s="55">
        <v>1500</v>
      </c>
      <c r="O448" s="55"/>
      <c r="P448" s="55">
        <v>300</v>
      </c>
      <c r="Q448" s="55"/>
      <c r="R448" s="55">
        <v>500</v>
      </c>
      <c r="S448" s="55"/>
      <c r="T448" s="55"/>
      <c r="U448" s="55"/>
      <c r="V448" s="55"/>
      <c r="W448" s="55"/>
      <c r="X448" s="55"/>
      <c r="Y448" s="55">
        <f t="shared" si="60"/>
        <v>0</v>
      </c>
      <c r="Z448">
        <f t="shared" si="61"/>
        <v>0</v>
      </c>
      <c r="AA448">
        <f t="shared" si="62"/>
        <v>0</v>
      </c>
      <c r="AB448">
        <f t="shared" si="63"/>
        <v>0</v>
      </c>
      <c r="AC448">
        <f t="shared" si="64"/>
        <v>3500</v>
      </c>
      <c r="AD448">
        <f t="shared" si="65"/>
        <v>300</v>
      </c>
      <c r="AE448">
        <f t="shared" si="66"/>
        <v>500</v>
      </c>
      <c r="AF448">
        <f t="shared" si="67"/>
        <v>0</v>
      </c>
      <c r="AG448">
        <f t="shared" si="68"/>
        <v>0</v>
      </c>
      <c r="AH448">
        <f t="shared" si="69"/>
        <v>0</v>
      </c>
    </row>
    <row r="449" spans="1:34" ht="15.5" x14ac:dyDescent="0.35">
      <c r="A449" s="45" t="s">
        <v>28</v>
      </c>
      <c r="B449" s="45">
        <v>2021</v>
      </c>
      <c r="C449" s="45" t="s">
        <v>43</v>
      </c>
      <c r="D449" s="45" t="s">
        <v>69</v>
      </c>
      <c r="E449" s="55"/>
      <c r="F449" s="55">
        <v>500</v>
      </c>
      <c r="G449" s="55"/>
      <c r="H449" s="55"/>
      <c r="I449" s="55"/>
      <c r="J449" s="55"/>
      <c r="K449" s="55"/>
      <c r="L449" s="55">
        <v>1500</v>
      </c>
      <c r="M449" s="55"/>
      <c r="N449" s="55"/>
      <c r="O449" s="55">
        <v>2000</v>
      </c>
      <c r="P449" s="55"/>
      <c r="Q449" s="55"/>
      <c r="R449" s="55">
        <v>300</v>
      </c>
      <c r="S449" s="56"/>
      <c r="T449" s="55"/>
      <c r="U449" s="55"/>
      <c r="V449" s="55"/>
      <c r="W449" s="55">
        <v>300</v>
      </c>
      <c r="X449" s="55"/>
      <c r="Y449" s="55">
        <f t="shared" si="60"/>
        <v>500</v>
      </c>
      <c r="Z449">
        <f t="shared" si="61"/>
        <v>0</v>
      </c>
      <c r="AA449">
        <f t="shared" si="62"/>
        <v>0</v>
      </c>
      <c r="AB449">
        <f t="shared" si="63"/>
        <v>1500</v>
      </c>
      <c r="AC449">
        <f t="shared" si="64"/>
        <v>0</v>
      </c>
      <c r="AD449">
        <f t="shared" si="65"/>
        <v>2000</v>
      </c>
      <c r="AE449">
        <f t="shared" si="66"/>
        <v>300</v>
      </c>
      <c r="AF449">
        <f t="shared" si="67"/>
        <v>0</v>
      </c>
      <c r="AG449">
        <f t="shared" si="68"/>
        <v>0</v>
      </c>
      <c r="AH449">
        <f t="shared" si="69"/>
        <v>300</v>
      </c>
    </row>
    <row r="450" spans="1:34" ht="15.5" x14ac:dyDescent="0.35">
      <c r="A450" s="45" t="s">
        <v>28</v>
      </c>
      <c r="B450" s="45">
        <v>2021</v>
      </c>
      <c r="C450" s="45" t="s">
        <v>65</v>
      </c>
      <c r="D450" s="45" t="s">
        <v>140</v>
      </c>
      <c r="E450" s="55"/>
      <c r="F450" s="55">
        <v>300</v>
      </c>
      <c r="G450" s="56"/>
      <c r="H450" s="55"/>
      <c r="I450" s="55"/>
      <c r="J450" s="55"/>
      <c r="K450" s="55">
        <v>300</v>
      </c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>
        <v>2500</v>
      </c>
      <c r="W450" s="55"/>
      <c r="X450" s="55"/>
      <c r="Y450" s="55">
        <f t="shared" si="60"/>
        <v>300</v>
      </c>
      <c r="Z450">
        <f t="shared" si="61"/>
        <v>0</v>
      </c>
      <c r="AA450">
        <f t="shared" si="62"/>
        <v>0</v>
      </c>
      <c r="AB450">
        <f t="shared" si="63"/>
        <v>300</v>
      </c>
      <c r="AC450">
        <f t="shared" si="64"/>
        <v>0</v>
      </c>
      <c r="AD450">
        <f t="shared" si="65"/>
        <v>0</v>
      </c>
      <c r="AE450">
        <f t="shared" si="66"/>
        <v>0</v>
      </c>
      <c r="AF450">
        <f t="shared" si="67"/>
        <v>0</v>
      </c>
      <c r="AG450">
        <f t="shared" si="68"/>
        <v>2500</v>
      </c>
      <c r="AH450">
        <f t="shared" si="69"/>
        <v>0</v>
      </c>
    </row>
    <row r="451" spans="1:34" ht="15.5" x14ac:dyDescent="0.35">
      <c r="A451" s="45" t="s">
        <v>28</v>
      </c>
      <c r="B451" s="45">
        <v>2017</v>
      </c>
      <c r="C451" s="45" t="s">
        <v>65</v>
      </c>
      <c r="D451" s="45" t="s">
        <v>141</v>
      </c>
      <c r="E451" s="55"/>
      <c r="F451" s="55"/>
      <c r="G451" s="55"/>
      <c r="H451" s="55"/>
      <c r="I451" s="55"/>
      <c r="J451" s="55">
        <v>2500</v>
      </c>
      <c r="K451" s="55"/>
      <c r="L451" s="55"/>
      <c r="M451" s="55"/>
      <c r="N451" s="55"/>
      <c r="O451" s="55"/>
      <c r="P451" s="55"/>
      <c r="Q451" s="55">
        <v>1000</v>
      </c>
      <c r="R451" s="55">
        <v>12000</v>
      </c>
      <c r="S451" s="58"/>
      <c r="T451" s="55"/>
      <c r="U451" s="55">
        <v>500</v>
      </c>
      <c r="V451" s="55"/>
      <c r="W451" s="55"/>
      <c r="X451" s="55"/>
      <c r="Y451" s="55">
        <f t="shared" si="60"/>
        <v>0</v>
      </c>
      <c r="Z451">
        <f t="shared" si="61"/>
        <v>0</v>
      </c>
      <c r="AA451">
        <f t="shared" si="62"/>
        <v>2500</v>
      </c>
      <c r="AB451">
        <f t="shared" si="63"/>
        <v>0</v>
      </c>
      <c r="AC451">
        <f t="shared" si="64"/>
        <v>0</v>
      </c>
      <c r="AD451">
        <f t="shared" si="65"/>
        <v>0</v>
      </c>
      <c r="AE451">
        <f t="shared" si="66"/>
        <v>13000</v>
      </c>
      <c r="AF451">
        <f t="shared" si="67"/>
        <v>0</v>
      </c>
      <c r="AG451">
        <f t="shared" si="68"/>
        <v>500</v>
      </c>
      <c r="AH451">
        <f t="shared" si="69"/>
        <v>0</v>
      </c>
    </row>
    <row r="452" spans="1:34" ht="15.5" x14ac:dyDescent="0.35">
      <c r="A452" s="45" t="s">
        <v>28</v>
      </c>
      <c r="B452" s="45">
        <v>2017</v>
      </c>
      <c r="C452" s="45" t="s">
        <v>43</v>
      </c>
      <c r="D452" s="45" t="s">
        <v>69</v>
      </c>
      <c r="E452" s="55">
        <v>1000</v>
      </c>
      <c r="F452" s="55">
        <v>12000</v>
      </c>
      <c r="G452" s="58"/>
      <c r="H452" s="55"/>
      <c r="I452" s="55">
        <v>500</v>
      </c>
      <c r="J452" s="55"/>
      <c r="K452" s="55"/>
      <c r="L452" s="55"/>
      <c r="M452" s="55"/>
      <c r="N452" s="55"/>
      <c r="O452" s="55"/>
      <c r="P452" s="55">
        <v>700</v>
      </c>
      <c r="Q452" s="55"/>
      <c r="R452" s="55"/>
      <c r="S452" s="55">
        <v>200</v>
      </c>
      <c r="T452" s="55">
        <v>1000</v>
      </c>
      <c r="U452" s="55"/>
      <c r="V452" s="55"/>
      <c r="W452" s="55"/>
      <c r="X452" s="55"/>
      <c r="Y452" s="55">
        <f t="shared" si="60"/>
        <v>13000</v>
      </c>
      <c r="Z452">
        <f t="shared" si="61"/>
        <v>0</v>
      </c>
      <c r="AA452">
        <f t="shared" si="62"/>
        <v>500</v>
      </c>
      <c r="AB452">
        <f t="shared" si="63"/>
        <v>0</v>
      </c>
      <c r="AC452">
        <f t="shared" si="64"/>
        <v>0</v>
      </c>
      <c r="AD452">
        <f t="shared" si="65"/>
        <v>700</v>
      </c>
      <c r="AE452">
        <f t="shared" si="66"/>
        <v>0</v>
      </c>
      <c r="AF452">
        <f t="shared" si="67"/>
        <v>1200</v>
      </c>
      <c r="AG452">
        <f t="shared" si="68"/>
        <v>0</v>
      </c>
      <c r="AH452">
        <f t="shared" si="69"/>
        <v>0</v>
      </c>
    </row>
    <row r="453" spans="1:34" ht="15.5" x14ac:dyDescent="0.35">
      <c r="A453" s="45" t="s">
        <v>28</v>
      </c>
      <c r="B453" s="45">
        <v>2017</v>
      </c>
      <c r="C453" s="45" t="s">
        <v>43</v>
      </c>
      <c r="D453" s="45" t="s">
        <v>142</v>
      </c>
      <c r="E453" s="55"/>
      <c r="F453" s="55"/>
      <c r="G453" s="55"/>
      <c r="H453" s="55"/>
      <c r="I453" s="55"/>
      <c r="J453" s="55"/>
      <c r="K453" s="55"/>
      <c r="L453" s="55"/>
      <c r="M453" s="55"/>
      <c r="N453" s="55">
        <v>50</v>
      </c>
      <c r="O453" s="55"/>
      <c r="P453" s="55"/>
      <c r="Q453" s="55"/>
      <c r="R453" s="55"/>
      <c r="S453" s="55"/>
      <c r="T453" s="56"/>
      <c r="U453" s="55"/>
      <c r="V453" s="55"/>
      <c r="W453" s="55"/>
      <c r="X453" s="55">
        <v>300</v>
      </c>
      <c r="Y453" s="55">
        <f t="shared" ref="Y453:Y516" si="70">SUM(E453:F453)</f>
        <v>0</v>
      </c>
      <c r="Z453">
        <f t="shared" ref="Z453:Z516" si="71">SUM(G453:H453)</f>
        <v>0</v>
      </c>
      <c r="AA453">
        <f t="shared" ref="AA453:AA516" si="72">SUM(I453:J453)</f>
        <v>0</v>
      </c>
      <c r="AB453">
        <f t="shared" ref="AB453:AB516" si="73">SUM(K453:L453)</f>
        <v>0</v>
      </c>
      <c r="AC453">
        <f t="shared" ref="AC453:AC516" si="74">SUM(M453:N453)</f>
        <v>50</v>
      </c>
      <c r="AD453">
        <f t="shared" ref="AD453:AD516" si="75">SUM(O453:P453)</f>
        <v>0</v>
      </c>
      <c r="AE453">
        <f t="shared" ref="AE453:AE516" si="76">SUM(Q453:R453)</f>
        <v>0</v>
      </c>
      <c r="AF453">
        <f t="shared" ref="AF453:AF516" si="77">SUM(S453:T453)</f>
        <v>0</v>
      </c>
      <c r="AG453">
        <f t="shared" ref="AG453:AG516" si="78">SUM(U453:V453)</f>
        <v>0</v>
      </c>
      <c r="AH453">
        <f t="shared" ref="AH453:AH516" si="79">SUM(W453:X453)</f>
        <v>300</v>
      </c>
    </row>
    <row r="454" spans="1:34" ht="15.5" x14ac:dyDescent="0.35">
      <c r="A454" s="45" t="s">
        <v>28</v>
      </c>
      <c r="B454" s="45">
        <v>2017</v>
      </c>
      <c r="C454" s="45" t="s">
        <v>65</v>
      </c>
      <c r="D454" s="45" t="s">
        <v>44</v>
      </c>
      <c r="E454" s="55"/>
      <c r="F454" s="55"/>
      <c r="G454" s="55">
        <v>10000</v>
      </c>
      <c r="H454" s="55"/>
      <c r="I454" s="55"/>
      <c r="J454" s="55"/>
      <c r="K454" s="55"/>
      <c r="L454" s="55"/>
      <c r="M454" s="55"/>
      <c r="N454" s="55"/>
      <c r="O454" s="56"/>
      <c r="P454" s="55"/>
      <c r="Q454" s="55"/>
      <c r="R454" s="55"/>
      <c r="S454" s="55"/>
      <c r="T454" s="55"/>
      <c r="U454" s="55"/>
      <c r="V454" s="55"/>
      <c r="W454" s="55">
        <v>2500</v>
      </c>
      <c r="X454" s="55"/>
      <c r="Y454" s="55">
        <f t="shared" si="70"/>
        <v>0</v>
      </c>
      <c r="Z454">
        <f t="shared" si="71"/>
        <v>10000</v>
      </c>
      <c r="AA454">
        <f t="shared" si="72"/>
        <v>0</v>
      </c>
      <c r="AB454">
        <f t="shared" si="73"/>
        <v>0</v>
      </c>
      <c r="AC454">
        <f t="shared" si="74"/>
        <v>0</v>
      </c>
      <c r="AD454">
        <f t="shared" si="75"/>
        <v>0</v>
      </c>
      <c r="AE454">
        <f t="shared" si="76"/>
        <v>0</v>
      </c>
      <c r="AF454">
        <f t="shared" si="77"/>
        <v>0</v>
      </c>
      <c r="AG454">
        <f t="shared" si="78"/>
        <v>0</v>
      </c>
      <c r="AH454">
        <f t="shared" si="79"/>
        <v>2500</v>
      </c>
    </row>
    <row r="455" spans="1:34" ht="15.5" x14ac:dyDescent="0.35">
      <c r="A455" s="45" t="s">
        <v>28</v>
      </c>
      <c r="B455" s="45">
        <v>2016</v>
      </c>
      <c r="C455" s="45" t="s">
        <v>65</v>
      </c>
      <c r="D455" s="45" t="s">
        <v>45</v>
      </c>
      <c r="E455" s="55"/>
      <c r="F455" s="57"/>
      <c r="G455" s="55"/>
      <c r="H455" s="59"/>
      <c r="I455" s="55"/>
      <c r="J455" s="55"/>
      <c r="K455" s="55"/>
      <c r="L455" s="60"/>
      <c r="M455" s="55"/>
      <c r="N455" s="55"/>
      <c r="O455" s="55"/>
      <c r="P455" s="55"/>
      <c r="Q455" s="55"/>
      <c r="R455" s="55"/>
      <c r="S455" s="55">
        <v>300</v>
      </c>
      <c r="T455" s="58"/>
      <c r="U455" s="55"/>
      <c r="V455" s="55">
        <v>500</v>
      </c>
      <c r="W455" s="55"/>
      <c r="X455" s="55"/>
      <c r="Y455" s="55">
        <f t="shared" si="70"/>
        <v>0</v>
      </c>
      <c r="Z455">
        <f t="shared" si="71"/>
        <v>0</v>
      </c>
      <c r="AA455">
        <f t="shared" si="72"/>
        <v>0</v>
      </c>
      <c r="AB455">
        <f t="shared" si="73"/>
        <v>0</v>
      </c>
      <c r="AC455">
        <f t="shared" si="74"/>
        <v>0</v>
      </c>
      <c r="AD455">
        <f t="shared" si="75"/>
        <v>0</v>
      </c>
      <c r="AE455">
        <f t="shared" si="76"/>
        <v>0</v>
      </c>
      <c r="AF455">
        <f t="shared" si="77"/>
        <v>300</v>
      </c>
      <c r="AG455">
        <f t="shared" si="78"/>
        <v>500</v>
      </c>
      <c r="AH455">
        <f t="shared" si="79"/>
        <v>0</v>
      </c>
    </row>
    <row r="456" spans="1:34" ht="15.5" x14ac:dyDescent="0.35">
      <c r="A456" s="45" t="s">
        <v>28</v>
      </c>
      <c r="B456" s="45">
        <v>2016</v>
      </c>
      <c r="C456" s="45" t="s">
        <v>43</v>
      </c>
      <c r="D456" s="45" t="s">
        <v>44</v>
      </c>
      <c r="E456" s="55"/>
      <c r="F456" s="55"/>
      <c r="G456" s="55"/>
      <c r="H456" s="55">
        <v>1000</v>
      </c>
      <c r="I456" s="56"/>
      <c r="J456" s="55"/>
      <c r="K456" s="55"/>
      <c r="L456" s="55"/>
      <c r="M456" s="55"/>
      <c r="N456" s="55"/>
      <c r="O456" s="57"/>
      <c r="P456" s="55"/>
      <c r="Q456" s="55"/>
      <c r="R456" s="55">
        <v>2500</v>
      </c>
      <c r="S456" s="55"/>
      <c r="T456" s="55">
        <v>200</v>
      </c>
      <c r="U456" s="55">
        <v>1000</v>
      </c>
      <c r="V456" s="55"/>
      <c r="W456" s="55"/>
      <c r="X456" s="55"/>
      <c r="Y456" s="55">
        <f t="shared" si="70"/>
        <v>0</v>
      </c>
      <c r="Z456">
        <f t="shared" si="71"/>
        <v>1000</v>
      </c>
      <c r="AA456">
        <f t="shared" si="72"/>
        <v>0</v>
      </c>
      <c r="AB456">
        <f t="shared" si="73"/>
        <v>0</v>
      </c>
      <c r="AC456">
        <f t="shared" si="74"/>
        <v>0</v>
      </c>
      <c r="AD456">
        <f t="shared" si="75"/>
        <v>0</v>
      </c>
      <c r="AE456">
        <f t="shared" si="76"/>
        <v>2500</v>
      </c>
      <c r="AF456">
        <f t="shared" si="77"/>
        <v>200</v>
      </c>
      <c r="AG456">
        <f t="shared" si="78"/>
        <v>1000</v>
      </c>
      <c r="AH456">
        <f t="shared" si="79"/>
        <v>0</v>
      </c>
    </row>
    <row r="457" spans="1:34" x14ac:dyDescent="0.35">
      <c r="A457" s="45" t="s">
        <v>28</v>
      </c>
      <c r="B457" s="45">
        <v>2016</v>
      </c>
      <c r="C457" s="45" t="s">
        <v>43</v>
      </c>
      <c r="D457" s="45" t="s">
        <v>45</v>
      </c>
      <c r="E457" s="55"/>
      <c r="F457" s="55"/>
      <c r="G457" s="55">
        <v>500</v>
      </c>
      <c r="H457" s="55"/>
      <c r="I457" s="55"/>
      <c r="J457" s="55"/>
      <c r="K457" s="55"/>
      <c r="L457" s="55"/>
      <c r="M457" s="55"/>
      <c r="N457" s="55">
        <v>10000</v>
      </c>
      <c r="O457" s="55"/>
      <c r="P457" s="55"/>
      <c r="Q457" s="55">
        <v>500</v>
      </c>
      <c r="R457" s="55"/>
      <c r="S457" s="55"/>
      <c r="T457" s="55"/>
      <c r="U457" s="55"/>
      <c r="V457" s="55"/>
      <c r="W457" s="55"/>
      <c r="X457" s="55"/>
      <c r="Y457" s="55">
        <f t="shared" si="70"/>
        <v>0</v>
      </c>
      <c r="Z457">
        <f t="shared" si="71"/>
        <v>500</v>
      </c>
      <c r="AA457">
        <f t="shared" si="72"/>
        <v>0</v>
      </c>
      <c r="AB457">
        <f t="shared" si="73"/>
        <v>0</v>
      </c>
      <c r="AC457">
        <f t="shared" si="74"/>
        <v>10000</v>
      </c>
      <c r="AD457">
        <f t="shared" si="75"/>
        <v>0</v>
      </c>
      <c r="AE457">
        <f t="shared" si="76"/>
        <v>500</v>
      </c>
      <c r="AF457">
        <f t="shared" si="77"/>
        <v>0</v>
      </c>
      <c r="AG457">
        <f t="shared" si="78"/>
        <v>0</v>
      </c>
      <c r="AH457">
        <f t="shared" si="79"/>
        <v>0</v>
      </c>
    </row>
    <row r="458" spans="1:34" ht="15.5" x14ac:dyDescent="0.35">
      <c r="A458" s="45" t="s">
        <v>28</v>
      </c>
      <c r="B458" s="45">
        <v>2016</v>
      </c>
      <c r="C458" s="45" t="s">
        <v>65</v>
      </c>
      <c r="D458" s="45" t="s">
        <v>44</v>
      </c>
      <c r="E458" s="55"/>
      <c r="F458" s="55">
        <v>2500</v>
      </c>
      <c r="G458" s="55"/>
      <c r="H458" s="55"/>
      <c r="I458" s="55">
        <v>12000</v>
      </c>
      <c r="J458" s="55"/>
      <c r="K458" s="55">
        <v>2500</v>
      </c>
      <c r="L458" s="55"/>
      <c r="M458" s="55"/>
      <c r="N458" s="55"/>
      <c r="O458" s="59"/>
      <c r="P458" s="55">
        <v>1000</v>
      </c>
      <c r="Q458" s="55"/>
      <c r="R458" s="55"/>
      <c r="S458" s="55"/>
      <c r="T458" s="55"/>
      <c r="U458" s="55"/>
      <c r="V458" s="55"/>
      <c r="W458" s="55"/>
      <c r="X458" s="55"/>
      <c r="Y458" s="55">
        <f t="shared" si="70"/>
        <v>2500</v>
      </c>
      <c r="Z458">
        <f t="shared" si="71"/>
        <v>0</v>
      </c>
      <c r="AA458">
        <f t="shared" si="72"/>
        <v>12000</v>
      </c>
      <c r="AB458">
        <f t="shared" si="73"/>
        <v>2500</v>
      </c>
      <c r="AC458">
        <f t="shared" si="74"/>
        <v>0</v>
      </c>
      <c r="AD458">
        <f t="shared" si="75"/>
        <v>1000</v>
      </c>
      <c r="AE458">
        <f t="shared" si="76"/>
        <v>0</v>
      </c>
      <c r="AF458">
        <f t="shared" si="77"/>
        <v>0</v>
      </c>
      <c r="AG458">
        <f t="shared" si="78"/>
        <v>0</v>
      </c>
      <c r="AH458">
        <f t="shared" si="79"/>
        <v>0</v>
      </c>
    </row>
    <row r="459" spans="1:34" ht="15.5" x14ac:dyDescent="0.35">
      <c r="A459" s="45" t="s">
        <v>28</v>
      </c>
      <c r="B459" s="45">
        <v>2016</v>
      </c>
      <c r="C459" s="45" t="s">
        <v>65</v>
      </c>
      <c r="D459" s="45" t="s">
        <v>45</v>
      </c>
      <c r="E459" s="55">
        <v>300</v>
      </c>
      <c r="F459" s="55"/>
      <c r="G459" s="55"/>
      <c r="H459" s="55"/>
      <c r="I459" s="55">
        <v>2500</v>
      </c>
      <c r="J459" s="55">
        <v>500</v>
      </c>
      <c r="K459" s="55"/>
      <c r="L459" s="55"/>
      <c r="M459" s="55"/>
      <c r="N459" s="55"/>
      <c r="O459" s="55">
        <v>50</v>
      </c>
      <c r="P459" s="55"/>
      <c r="Q459" s="55"/>
      <c r="R459" s="55"/>
      <c r="S459" s="55"/>
      <c r="T459" s="55"/>
      <c r="U459" s="55"/>
      <c r="V459" s="55"/>
      <c r="W459" s="55"/>
      <c r="X459" s="56"/>
      <c r="Y459" s="55">
        <f t="shared" si="70"/>
        <v>300</v>
      </c>
      <c r="Z459">
        <f t="shared" si="71"/>
        <v>0</v>
      </c>
      <c r="AA459">
        <f t="shared" si="72"/>
        <v>3000</v>
      </c>
      <c r="AB459">
        <f t="shared" si="73"/>
        <v>0</v>
      </c>
      <c r="AC459">
        <f t="shared" si="74"/>
        <v>0</v>
      </c>
      <c r="AD459">
        <f t="shared" si="75"/>
        <v>50</v>
      </c>
      <c r="AE459">
        <f t="shared" si="76"/>
        <v>0</v>
      </c>
      <c r="AF459">
        <f t="shared" si="77"/>
        <v>0</v>
      </c>
      <c r="AG459">
        <f t="shared" si="78"/>
        <v>0</v>
      </c>
      <c r="AH459">
        <f t="shared" si="79"/>
        <v>0</v>
      </c>
    </row>
    <row r="460" spans="1:34" x14ac:dyDescent="0.35">
      <c r="A460" s="45" t="s">
        <v>28</v>
      </c>
      <c r="B460" s="45">
        <v>2022</v>
      </c>
      <c r="C460" s="45" t="s">
        <v>43</v>
      </c>
      <c r="D460" s="45" t="s">
        <v>46</v>
      </c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55"/>
      <c r="X460" s="55">
        <v>150</v>
      </c>
      <c r="Y460" s="55">
        <f t="shared" si="70"/>
        <v>0</v>
      </c>
      <c r="Z460">
        <f t="shared" si="71"/>
        <v>0</v>
      </c>
      <c r="AA460">
        <f t="shared" si="72"/>
        <v>0</v>
      </c>
      <c r="AB460">
        <f t="shared" si="73"/>
        <v>0</v>
      </c>
      <c r="AC460">
        <f t="shared" si="74"/>
        <v>0</v>
      </c>
      <c r="AD460">
        <f t="shared" si="75"/>
        <v>0</v>
      </c>
      <c r="AE460">
        <f t="shared" si="76"/>
        <v>0</v>
      </c>
      <c r="AF460">
        <f t="shared" si="77"/>
        <v>0</v>
      </c>
      <c r="AG460">
        <f t="shared" si="78"/>
        <v>0</v>
      </c>
      <c r="AH460">
        <f t="shared" si="79"/>
        <v>150</v>
      </c>
    </row>
    <row r="461" spans="1:34" ht="15.5" x14ac:dyDescent="0.35">
      <c r="A461" s="45" t="s">
        <v>28</v>
      </c>
      <c r="B461" s="45">
        <v>2022</v>
      </c>
      <c r="C461" s="45" t="s">
        <v>43</v>
      </c>
      <c r="D461" s="45" t="s">
        <v>46</v>
      </c>
      <c r="E461" s="55"/>
      <c r="F461" s="55"/>
      <c r="G461" s="55">
        <v>2500</v>
      </c>
      <c r="H461" s="55"/>
      <c r="I461" s="55"/>
      <c r="J461" s="55"/>
      <c r="K461" s="55"/>
      <c r="L461" s="55"/>
      <c r="M461" s="55"/>
      <c r="N461" s="55"/>
      <c r="O461" s="59"/>
      <c r="P461" s="55"/>
      <c r="Q461" s="55"/>
      <c r="R461" s="55"/>
      <c r="S461" s="55"/>
      <c r="T461" s="55"/>
      <c r="U461" s="55"/>
      <c r="V461" s="55"/>
      <c r="W461" s="55"/>
      <c r="X461" s="55"/>
      <c r="Y461" s="55">
        <f t="shared" si="70"/>
        <v>0</v>
      </c>
      <c r="Z461">
        <f t="shared" si="71"/>
        <v>2500</v>
      </c>
      <c r="AA461">
        <f t="shared" si="72"/>
        <v>0</v>
      </c>
      <c r="AB461">
        <f t="shared" si="73"/>
        <v>0</v>
      </c>
      <c r="AC461">
        <f t="shared" si="74"/>
        <v>0</v>
      </c>
      <c r="AD461">
        <f t="shared" si="75"/>
        <v>0</v>
      </c>
      <c r="AE461">
        <f t="shared" si="76"/>
        <v>0</v>
      </c>
      <c r="AF461">
        <f t="shared" si="77"/>
        <v>0</v>
      </c>
      <c r="AG461">
        <f t="shared" si="78"/>
        <v>0</v>
      </c>
      <c r="AH461">
        <f t="shared" si="79"/>
        <v>0</v>
      </c>
    </row>
    <row r="462" spans="1:34" ht="15.5" x14ac:dyDescent="0.35">
      <c r="A462" s="45" t="s">
        <v>28</v>
      </c>
      <c r="B462" s="45">
        <v>2022</v>
      </c>
      <c r="C462" s="45" t="s">
        <v>65</v>
      </c>
      <c r="D462" s="45" t="s">
        <v>139</v>
      </c>
      <c r="E462" s="55">
        <v>700</v>
      </c>
      <c r="F462" s="55"/>
      <c r="G462" s="55"/>
      <c r="H462" s="55"/>
      <c r="I462" s="55"/>
      <c r="J462" s="55">
        <v>500</v>
      </c>
      <c r="K462" s="55"/>
      <c r="L462" s="55"/>
      <c r="M462" s="55"/>
      <c r="N462" s="55"/>
      <c r="O462" s="55"/>
      <c r="P462" s="55"/>
      <c r="Q462" s="55"/>
      <c r="R462" s="55"/>
      <c r="S462" s="55">
        <v>300</v>
      </c>
      <c r="T462" s="55"/>
      <c r="U462" s="55"/>
      <c r="V462" s="56"/>
      <c r="W462" s="55"/>
      <c r="X462" s="55"/>
      <c r="Y462" s="55">
        <f t="shared" si="70"/>
        <v>700</v>
      </c>
      <c r="Z462">
        <f t="shared" si="71"/>
        <v>0</v>
      </c>
      <c r="AA462">
        <f t="shared" si="72"/>
        <v>500</v>
      </c>
      <c r="AB462">
        <f t="shared" si="73"/>
        <v>0</v>
      </c>
      <c r="AC462">
        <f t="shared" si="74"/>
        <v>0</v>
      </c>
      <c r="AD462">
        <f t="shared" si="75"/>
        <v>0</v>
      </c>
      <c r="AE462">
        <f t="shared" si="76"/>
        <v>0</v>
      </c>
      <c r="AF462">
        <f t="shared" si="77"/>
        <v>300</v>
      </c>
      <c r="AG462">
        <f t="shared" si="78"/>
        <v>0</v>
      </c>
      <c r="AH462">
        <f t="shared" si="79"/>
        <v>0</v>
      </c>
    </row>
    <row r="463" spans="1:34" ht="15.5" x14ac:dyDescent="0.35">
      <c r="A463" s="45" t="s">
        <v>28</v>
      </c>
      <c r="B463" s="45">
        <v>2022</v>
      </c>
      <c r="C463" s="45" t="s">
        <v>65</v>
      </c>
      <c r="D463" s="45" t="s">
        <v>44</v>
      </c>
      <c r="E463" s="55"/>
      <c r="F463" s="55"/>
      <c r="G463" s="55">
        <v>88</v>
      </c>
      <c r="H463" s="55"/>
      <c r="I463" s="55"/>
      <c r="J463" s="55"/>
      <c r="K463" s="55"/>
      <c r="L463" s="55"/>
      <c r="M463" s="55"/>
      <c r="N463" s="59"/>
      <c r="O463" s="55"/>
      <c r="P463" s="55">
        <v>300</v>
      </c>
      <c r="Q463" s="55"/>
      <c r="R463" s="55">
        <v>2000</v>
      </c>
      <c r="S463" s="55"/>
      <c r="T463" s="55"/>
      <c r="U463" s="55"/>
      <c r="V463" s="55"/>
      <c r="W463" s="55"/>
      <c r="X463" s="55"/>
      <c r="Y463" s="55">
        <f t="shared" si="70"/>
        <v>0</v>
      </c>
      <c r="Z463">
        <f t="shared" si="71"/>
        <v>88</v>
      </c>
      <c r="AA463">
        <f t="shared" si="72"/>
        <v>0</v>
      </c>
      <c r="AB463">
        <f t="shared" si="73"/>
        <v>0</v>
      </c>
      <c r="AC463">
        <f t="shared" si="74"/>
        <v>0</v>
      </c>
      <c r="AD463">
        <f t="shared" si="75"/>
        <v>300</v>
      </c>
      <c r="AE463">
        <f t="shared" si="76"/>
        <v>2000</v>
      </c>
      <c r="AF463">
        <f t="shared" si="77"/>
        <v>0</v>
      </c>
      <c r="AG463">
        <f t="shared" si="78"/>
        <v>0</v>
      </c>
      <c r="AH463">
        <f t="shared" si="79"/>
        <v>0</v>
      </c>
    </row>
    <row r="464" spans="1:34" ht="15.5" x14ac:dyDescent="0.35">
      <c r="A464" s="45" t="s">
        <v>28</v>
      </c>
      <c r="B464" s="45">
        <v>2022</v>
      </c>
      <c r="C464" s="45" t="s">
        <v>43</v>
      </c>
      <c r="D464" s="45" t="s">
        <v>69</v>
      </c>
      <c r="E464" s="55"/>
      <c r="F464" s="55">
        <v>2500</v>
      </c>
      <c r="G464" s="55"/>
      <c r="H464" s="55"/>
      <c r="I464" s="55"/>
      <c r="J464" s="55"/>
      <c r="K464" s="55"/>
      <c r="L464" s="55"/>
      <c r="M464" s="55"/>
      <c r="N464" s="55"/>
      <c r="O464" s="55">
        <v>2500</v>
      </c>
      <c r="P464" s="55"/>
      <c r="Q464" s="55"/>
      <c r="R464" s="55"/>
      <c r="S464" s="55"/>
      <c r="T464" s="55"/>
      <c r="U464" s="55"/>
      <c r="V464" s="57"/>
      <c r="W464" s="55"/>
      <c r="X464" s="55"/>
      <c r="Y464" s="55">
        <f t="shared" si="70"/>
        <v>2500</v>
      </c>
      <c r="Z464">
        <f t="shared" si="71"/>
        <v>0</v>
      </c>
      <c r="AA464">
        <f t="shared" si="72"/>
        <v>0</v>
      </c>
      <c r="AB464">
        <f t="shared" si="73"/>
        <v>0</v>
      </c>
      <c r="AC464">
        <f t="shared" si="74"/>
        <v>0</v>
      </c>
      <c r="AD464">
        <f t="shared" si="75"/>
        <v>2500</v>
      </c>
      <c r="AE464">
        <f t="shared" si="76"/>
        <v>0</v>
      </c>
      <c r="AF464">
        <f t="shared" si="77"/>
        <v>0</v>
      </c>
      <c r="AG464">
        <f t="shared" si="78"/>
        <v>0</v>
      </c>
      <c r="AH464">
        <f t="shared" si="79"/>
        <v>0</v>
      </c>
    </row>
    <row r="465" spans="1:34" x14ac:dyDescent="0.35">
      <c r="A465" s="45" t="s">
        <v>28</v>
      </c>
      <c r="B465" s="45">
        <v>2022</v>
      </c>
      <c r="C465" s="45" t="s">
        <v>43</v>
      </c>
      <c r="D465" s="45" t="s">
        <v>140</v>
      </c>
      <c r="E465" s="55">
        <v>300</v>
      </c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>
        <v>1000</v>
      </c>
      <c r="U465" s="55">
        <v>10000</v>
      </c>
      <c r="V465" s="55"/>
      <c r="W465" s="55"/>
      <c r="X465" s="55">
        <v>500</v>
      </c>
      <c r="Y465" s="55">
        <f t="shared" si="70"/>
        <v>300</v>
      </c>
      <c r="Z465">
        <f t="shared" si="71"/>
        <v>0</v>
      </c>
      <c r="AA465">
        <f t="shared" si="72"/>
        <v>0</v>
      </c>
      <c r="AB465">
        <f t="shared" si="73"/>
        <v>0</v>
      </c>
      <c r="AC465">
        <f t="shared" si="74"/>
        <v>0</v>
      </c>
      <c r="AD465">
        <f t="shared" si="75"/>
        <v>0</v>
      </c>
      <c r="AE465">
        <f t="shared" si="76"/>
        <v>0</v>
      </c>
      <c r="AF465">
        <f t="shared" si="77"/>
        <v>1000</v>
      </c>
      <c r="AG465">
        <f t="shared" si="78"/>
        <v>10000</v>
      </c>
      <c r="AH465">
        <f t="shared" si="79"/>
        <v>500</v>
      </c>
    </row>
    <row r="466" spans="1:34" ht="15.5" x14ac:dyDescent="0.35">
      <c r="A466" s="45" t="s">
        <v>29</v>
      </c>
      <c r="B466" s="45">
        <v>2016</v>
      </c>
      <c r="C466" s="45" t="s">
        <v>65</v>
      </c>
      <c r="D466" s="45" t="s">
        <v>143</v>
      </c>
      <c r="E466" s="55"/>
      <c r="F466" s="55"/>
      <c r="G466" s="55"/>
      <c r="H466" s="55"/>
      <c r="I466" s="55"/>
      <c r="J466" s="55"/>
      <c r="K466" s="55">
        <v>2000</v>
      </c>
      <c r="L466" s="55">
        <v>1500</v>
      </c>
      <c r="M466" s="55"/>
      <c r="N466" s="55">
        <v>300</v>
      </c>
      <c r="O466" s="55"/>
      <c r="P466" s="55"/>
      <c r="Q466" s="55"/>
      <c r="R466" s="55"/>
      <c r="S466" s="55">
        <v>700</v>
      </c>
      <c r="T466" s="55"/>
      <c r="U466" s="55"/>
      <c r="V466" s="59"/>
      <c r="W466" s="55">
        <v>1000</v>
      </c>
      <c r="X466" s="55"/>
      <c r="Y466" s="55">
        <f t="shared" si="70"/>
        <v>0</v>
      </c>
      <c r="Z466">
        <f t="shared" si="71"/>
        <v>0</v>
      </c>
      <c r="AA466">
        <f t="shared" si="72"/>
        <v>0</v>
      </c>
      <c r="AB466">
        <f t="shared" si="73"/>
        <v>3500</v>
      </c>
      <c r="AC466">
        <f t="shared" si="74"/>
        <v>300</v>
      </c>
      <c r="AD466">
        <f t="shared" si="75"/>
        <v>0</v>
      </c>
      <c r="AE466">
        <f t="shared" si="76"/>
        <v>0</v>
      </c>
      <c r="AF466">
        <f t="shared" si="77"/>
        <v>700</v>
      </c>
      <c r="AG466">
        <f t="shared" si="78"/>
        <v>0</v>
      </c>
      <c r="AH466">
        <f t="shared" si="79"/>
        <v>1000</v>
      </c>
    </row>
    <row r="467" spans="1:34" ht="15.5" x14ac:dyDescent="0.35">
      <c r="A467" s="45" t="s">
        <v>29</v>
      </c>
      <c r="B467" s="45">
        <v>2016</v>
      </c>
      <c r="C467" s="45" t="s">
        <v>65</v>
      </c>
      <c r="D467" s="45" t="s">
        <v>54</v>
      </c>
      <c r="E467" s="55"/>
      <c r="F467" s="55"/>
      <c r="G467" s="61"/>
      <c r="H467" s="55"/>
      <c r="I467" s="55"/>
      <c r="J467" s="55"/>
      <c r="K467" s="55"/>
      <c r="L467" s="55"/>
      <c r="M467" s="55"/>
      <c r="N467" s="56">
        <v>3000</v>
      </c>
      <c r="O467" s="55"/>
      <c r="P467" s="55"/>
      <c r="Q467" s="55">
        <v>1000</v>
      </c>
      <c r="R467" s="55"/>
      <c r="S467" s="55"/>
      <c r="T467" s="55"/>
      <c r="U467" s="55"/>
      <c r="V467" s="55">
        <v>50</v>
      </c>
      <c r="W467" s="55"/>
      <c r="X467" s="55"/>
      <c r="Y467" s="55">
        <f t="shared" si="70"/>
        <v>0</v>
      </c>
      <c r="Z467">
        <f t="shared" si="71"/>
        <v>0</v>
      </c>
      <c r="AA467">
        <f t="shared" si="72"/>
        <v>0</v>
      </c>
      <c r="AB467">
        <f t="shared" si="73"/>
        <v>0</v>
      </c>
      <c r="AC467">
        <f t="shared" si="74"/>
        <v>3000</v>
      </c>
      <c r="AD467">
        <f t="shared" si="75"/>
        <v>0</v>
      </c>
      <c r="AE467">
        <f t="shared" si="76"/>
        <v>1000</v>
      </c>
      <c r="AF467">
        <f t="shared" si="77"/>
        <v>0</v>
      </c>
      <c r="AG467">
        <f t="shared" si="78"/>
        <v>50</v>
      </c>
      <c r="AH467">
        <f t="shared" si="79"/>
        <v>0</v>
      </c>
    </row>
    <row r="468" spans="1:34" ht="15.5" x14ac:dyDescent="0.35">
      <c r="A468" s="45" t="s">
        <v>29</v>
      </c>
      <c r="B468" s="45">
        <v>2916</v>
      </c>
      <c r="C468" s="45" t="s">
        <v>43</v>
      </c>
      <c r="D468" s="45" t="s">
        <v>142</v>
      </c>
      <c r="E468" s="55"/>
      <c r="F468" s="55"/>
      <c r="G468" s="55"/>
      <c r="H468" s="55"/>
      <c r="I468" s="55"/>
      <c r="J468" s="55"/>
      <c r="K468" s="55"/>
      <c r="L468" s="55"/>
      <c r="M468" s="55"/>
      <c r="N468" s="55">
        <v>2000</v>
      </c>
      <c r="O468" s="55"/>
      <c r="P468" s="55"/>
      <c r="Q468" s="55"/>
      <c r="R468" s="55"/>
      <c r="S468" s="55"/>
      <c r="T468" s="55"/>
      <c r="U468" s="55"/>
      <c r="V468" s="55"/>
      <c r="W468" s="56"/>
      <c r="X468" s="55"/>
      <c r="Y468" s="55">
        <f t="shared" si="70"/>
        <v>0</v>
      </c>
      <c r="Z468">
        <f t="shared" si="71"/>
        <v>0</v>
      </c>
      <c r="AA468">
        <f t="shared" si="72"/>
        <v>0</v>
      </c>
      <c r="AB468">
        <f t="shared" si="73"/>
        <v>0</v>
      </c>
      <c r="AC468">
        <f t="shared" si="74"/>
        <v>2000</v>
      </c>
      <c r="AD468">
        <f t="shared" si="75"/>
        <v>0</v>
      </c>
      <c r="AE468">
        <f t="shared" si="76"/>
        <v>0</v>
      </c>
      <c r="AF468">
        <f t="shared" si="77"/>
        <v>0</v>
      </c>
      <c r="AG468">
        <f t="shared" si="78"/>
        <v>0</v>
      </c>
      <c r="AH468">
        <f t="shared" si="79"/>
        <v>0</v>
      </c>
    </row>
    <row r="469" spans="1:34" ht="15.5" x14ac:dyDescent="0.35">
      <c r="A469" s="45" t="s">
        <v>29</v>
      </c>
      <c r="B469" s="45">
        <v>2016</v>
      </c>
      <c r="C469" s="45" t="s">
        <v>43</v>
      </c>
      <c r="D469" s="45" t="s">
        <v>44</v>
      </c>
      <c r="E469" s="55">
        <v>88</v>
      </c>
      <c r="F469" s="55"/>
      <c r="G469" s="55"/>
      <c r="H469" s="61"/>
      <c r="I469" s="55"/>
      <c r="J469" s="55"/>
      <c r="K469" s="55"/>
      <c r="L469" s="55"/>
      <c r="M469" s="55">
        <v>1500</v>
      </c>
      <c r="N469" s="55"/>
      <c r="O469" s="55"/>
      <c r="P469" s="55"/>
      <c r="Q469" s="55"/>
      <c r="R469" s="55"/>
      <c r="S469" s="55"/>
      <c r="T469" s="60"/>
      <c r="U469" s="55"/>
      <c r="V469" s="55"/>
      <c r="W469" s="55"/>
      <c r="X469" s="55"/>
      <c r="Y469" s="55">
        <f t="shared" si="70"/>
        <v>88</v>
      </c>
      <c r="Z469">
        <f t="shared" si="71"/>
        <v>0</v>
      </c>
      <c r="AA469">
        <f t="shared" si="72"/>
        <v>0</v>
      </c>
      <c r="AB469">
        <f t="shared" si="73"/>
        <v>0</v>
      </c>
      <c r="AC469">
        <f t="shared" si="74"/>
        <v>1500</v>
      </c>
      <c r="AD469">
        <f t="shared" si="75"/>
        <v>0</v>
      </c>
      <c r="AE469">
        <f t="shared" si="76"/>
        <v>0</v>
      </c>
      <c r="AF469">
        <f t="shared" si="77"/>
        <v>0</v>
      </c>
      <c r="AG469">
        <f t="shared" si="78"/>
        <v>0</v>
      </c>
      <c r="AH469">
        <f t="shared" si="79"/>
        <v>0</v>
      </c>
    </row>
    <row r="470" spans="1:34" ht="15.5" x14ac:dyDescent="0.35">
      <c r="A470" s="45" t="s">
        <v>29</v>
      </c>
      <c r="B470" s="45">
        <v>2017</v>
      </c>
      <c r="C470" s="45" t="s">
        <v>65</v>
      </c>
      <c r="D470" s="45" t="s">
        <v>45</v>
      </c>
      <c r="E470" s="55">
        <v>1500</v>
      </c>
      <c r="F470" s="55"/>
      <c r="G470" s="55">
        <v>300</v>
      </c>
      <c r="H470" s="55"/>
      <c r="I470" s="55"/>
      <c r="J470" s="56"/>
      <c r="K470" s="55"/>
      <c r="L470" s="55"/>
      <c r="M470" s="55"/>
      <c r="N470" s="55"/>
      <c r="O470" s="55"/>
      <c r="P470" s="55"/>
      <c r="Q470" s="55">
        <v>300</v>
      </c>
      <c r="R470" s="55"/>
      <c r="S470" s="55"/>
      <c r="T470" s="55"/>
      <c r="U470" s="55"/>
      <c r="V470" s="55"/>
      <c r="W470" s="55"/>
      <c r="X470" s="55"/>
      <c r="Y470" s="55">
        <f t="shared" si="70"/>
        <v>1500</v>
      </c>
      <c r="Z470">
        <f t="shared" si="71"/>
        <v>300</v>
      </c>
      <c r="AA470">
        <f t="shared" si="72"/>
        <v>0</v>
      </c>
      <c r="AB470">
        <f t="shared" si="73"/>
        <v>0</v>
      </c>
      <c r="AC470">
        <f t="shared" si="74"/>
        <v>0</v>
      </c>
      <c r="AD470">
        <f t="shared" si="75"/>
        <v>0</v>
      </c>
      <c r="AE470">
        <f t="shared" si="76"/>
        <v>300</v>
      </c>
      <c r="AF470">
        <f t="shared" si="77"/>
        <v>0</v>
      </c>
      <c r="AG470">
        <f t="shared" si="78"/>
        <v>0</v>
      </c>
      <c r="AH470">
        <f t="shared" si="79"/>
        <v>0</v>
      </c>
    </row>
    <row r="471" spans="1:34" x14ac:dyDescent="0.35">
      <c r="A471" s="45" t="s">
        <v>29</v>
      </c>
      <c r="B471" s="45">
        <v>2017</v>
      </c>
      <c r="C471" s="45" t="s">
        <v>65</v>
      </c>
      <c r="D471" s="45" t="s">
        <v>46</v>
      </c>
      <c r="E471" s="55"/>
      <c r="F471" s="55">
        <v>2000</v>
      </c>
      <c r="G471" s="55"/>
      <c r="H471" s="55"/>
      <c r="I471" s="55"/>
      <c r="J471" s="55"/>
      <c r="K471" s="55"/>
      <c r="L471" s="55"/>
      <c r="M471" s="55"/>
      <c r="N471" s="55">
        <v>300</v>
      </c>
      <c r="O471" s="55"/>
      <c r="P471" s="55"/>
      <c r="Q471" s="55"/>
      <c r="R471" s="55"/>
      <c r="S471" s="55">
        <v>2000</v>
      </c>
      <c r="T471" s="55">
        <v>1500</v>
      </c>
      <c r="U471" s="55"/>
      <c r="V471" s="55">
        <v>300</v>
      </c>
      <c r="W471" s="55"/>
      <c r="X471" s="55"/>
      <c r="Y471" s="55">
        <f t="shared" si="70"/>
        <v>2000</v>
      </c>
      <c r="Z471">
        <f t="shared" si="71"/>
        <v>0</v>
      </c>
      <c r="AA471">
        <f t="shared" si="72"/>
        <v>0</v>
      </c>
      <c r="AB471">
        <f t="shared" si="73"/>
        <v>0</v>
      </c>
      <c r="AC471">
        <f t="shared" si="74"/>
        <v>300</v>
      </c>
      <c r="AD471">
        <f t="shared" si="75"/>
        <v>0</v>
      </c>
      <c r="AE471">
        <f t="shared" si="76"/>
        <v>0</v>
      </c>
      <c r="AF471">
        <f t="shared" si="77"/>
        <v>3500</v>
      </c>
      <c r="AG471">
        <f t="shared" si="78"/>
        <v>300</v>
      </c>
      <c r="AH471">
        <f t="shared" si="79"/>
        <v>0</v>
      </c>
    </row>
    <row r="472" spans="1:34" ht="15.5" x14ac:dyDescent="0.35">
      <c r="A472" s="45" t="s">
        <v>29</v>
      </c>
      <c r="B472" s="45">
        <v>2017</v>
      </c>
      <c r="C472" s="45" t="s">
        <v>43</v>
      </c>
      <c r="D472" s="45" t="s">
        <v>46</v>
      </c>
      <c r="E472" s="55"/>
      <c r="F472" s="55"/>
      <c r="G472" s="55"/>
      <c r="H472" s="55"/>
      <c r="I472" s="55"/>
      <c r="J472" s="57"/>
      <c r="K472" s="55"/>
      <c r="L472" s="55"/>
      <c r="M472" s="55">
        <v>2500</v>
      </c>
      <c r="N472" s="55"/>
      <c r="O472" s="55"/>
      <c r="P472" s="55"/>
      <c r="Q472" s="55"/>
      <c r="R472" s="55"/>
      <c r="S472" s="55"/>
      <c r="T472" s="55"/>
      <c r="U472" s="55"/>
      <c r="V472" s="56">
        <v>3000</v>
      </c>
      <c r="W472" s="55"/>
      <c r="X472" s="55"/>
      <c r="Y472" s="55">
        <f t="shared" si="70"/>
        <v>0</v>
      </c>
      <c r="Z472">
        <f t="shared" si="71"/>
        <v>0</v>
      </c>
      <c r="AA472">
        <f t="shared" si="72"/>
        <v>0</v>
      </c>
      <c r="AB472">
        <f t="shared" si="73"/>
        <v>0</v>
      </c>
      <c r="AC472">
        <f t="shared" si="74"/>
        <v>2500</v>
      </c>
      <c r="AD472">
        <f t="shared" si="75"/>
        <v>0</v>
      </c>
      <c r="AE472">
        <f t="shared" si="76"/>
        <v>0</v>
      </c>
      <c r="AF472">
        <f t="shared" si="77"/>
        <v>0</v>
      </c>
      <c r="AG472">
        <f t="shared" si="78"/>
        <v>3000</v>
      </c>
      <c r="AH472">
        <f t="shared" si="79"/>
        <v>0</v>
      </c>
    </row>
    <row r="473" spans="1:34" x14ac:dyDescent="0.35">
      <c r="A473" s="45" t="s">
        <v>29</v>
      </c>
      <c r="B473" s="45">
        <v>2018</v>
      </c>
      <c r="C473" s="45" t="s">
        <v>43</v>
      </c>
      <c r="D473" s="45" t="s">
        <v>139</v>
      </c>
      <c r="E473" s="55"/>
      <c r="F473" s="55"/>
      <c r="G473" s="55"/>
      <c r="H473" s="55">
        <v>1000</v>
      </c>
      <c r="I473" s="55">
        <v>10000</v>
      </c>
      <c r="J473" s="55"/>
      <c r="K473" s="55"/>
      <c r="L473" s="55">
        <v>500</v>
      </c>
      <c r="M473" s="55"/>
      <c r="N473" s="55"/>
      <c r="O473" s="55">
        <v>12000</v>
      </c>
      <c r="P473" s="55"/>
      <c r="Q473" s="55"/>
      <c r="R473" s="55"/>
      <c r="S473" s="55"/>
      <c r="T473" s="55"/>
      <c r="U473" s="55"/>
      <c r="V473" s="55">
        <v>2000</v>
      </c>
      <c r="W473" s="55"/>
      <c r="X473" s="55"/>
      <c r="Y473" s="55">
        <f t="shared" si="70"/>
        <v>0</v>
      </c>
      <c r="Z473">
        <f t="shared" si="71"/>
        <v>1000</v>
      </c>
      <c r="AA473">
        <f t="shared" si="72"/>
        <v>10000</v>
      </c>
      <c r="AB473">
        <f t="shared" si="73"/>
        <v>500</v>
      </c>
      <c r="AC473">
        <f t="shared" si="74"/>
        <v>0</v>
      </c>
      <c r="AD473">
        <f t="shared" si="75"/>
        <v>12000</v>
      </c>
      <c r="AE473">
        <f t="shared" si="76"/>
        <v>0</v>
      </c>
      <c r="AF473">
        <f t="shared" si="77"/>
        <v>0</v>
      </c>
      <c r="AG473">
        <f t="shared" si="78"/>
        <v>2000</v>
      </c>
      <c r="AH473">
        <f t="shared" si="79"/>
        <v>0</v>
      </c>
    </row>
    <row r="474" spans="1:34" ht="15.5" x14ac:dyDescent="0.35">
      <c r="A474" s="45" t="s">
        <v>29</v>
      </c>
      <c r="B474" s="45">
        <v>2018</v>
      </c>
      <c r="C474" s="45" t="s">
        <v>65</v>
      </c>
      <c r="D474" s="45" t="s">
        <v>44</v>
      </c>
      <c r="E474" s="55"/>
      <c r="F474" s="55"/>
      <c r="G474" s="55">
        <v>700</v>
      </c>
      <c r="H474" s="55"/>
      <c r="I474" s="55"/>
      <c r="J474" s="59"/>
      <c r="K474" s="55">
        <v>1000</v>
      </c>
      <c r="L474" s="55"/>
      <c r="M474" s="55"/>
      <c r="N474" s="55"/>
      <c r="O474" s="55"/>
      <c r="P474" s="55"/>
      <c r="Q474" s="55"/>
      <c r="R474" s="55"/>
      <c r="S474" s="55"/>
      <c r="T474" s="55"/>
      <c r="U474" s="55">
        <v>1500</v>
      </c>
      <c r="V474" s="55"/>
      <c r="W474" s="55"/>
      <c r="X474" s="55"/>
      <c r="Y474" s="55">
        <f t="shared" si="70"/>
        <v>0</v>
      </c>
      <c r="Z474">
        <f t="shared" si="71"/>
        <v>700</v>
      </c>
      <c r="AA474">
        <f t="shared" si="72"/>
        <v>0</v>
      </c>
      <c r="AB474">
        <f t="shared" si="73"/>
        <v>1000</v>
      </c>
      <c r="AC474">
        <f t="shared" si="74"/>
        <v>0</v>
      </c>
      <c r="AD474">
        <f t="shared" si="75"/>
        <v>0</v>
      </c>
      <c r="AE474">
        <f t="shared" si="76"/>
        <v>0</v>
      </c>
      <c r="AF474">
        <f t="shared" si="77"/>
        <v>0</v>
      </c>
      <c r="AG474">
        <f t="shared" si="78"/>
        <v>1500</v>
      </c>
      <c r="AH474">
        <f t="shared" si="79"/>
        <v>0</v>
      </c>
    </row>
    <row r="475" spans="1:34" ht="15.5" x14ac:dyDescent="0.35">
      <c r="A475" s="45" t="s">
        <v>29</v>
      </c>
      <c r="B475" s="45">
        <v>2018</v>
      </c>
      <c r="C475" s="45" t="s">
        <v>65</v>
      </c>
      <c r="D475" s="45" t="s">
        <v>69</v>
      </c>
      <c r="E475" s="55"/>
      <c r="F475" s="55"/>
      <c r="G475" s="55"/>
      <c r="H475" s="55"/>
      <c r="I475" s="55"/>
      <c r="J475" s="55">
        <v>50</v>
      </c>
      <c r="K475" s="55"/>
      <c r="L475" s="55"/>
      <c r="M475" s="55"/>
      <c r="N475" s="55"/>
      <c r="O475" s="55"/>
      <c r="P475" s="56"/>
      <c r="Q475" s="55"/>
      <c r="R475" s="55"/>
      <c r="S475" s="55"/>
      <c r="T475" s="55">
        <v>300</v>
      </c>
      <c r="U475" s="55"/>
      <c r="V475" s="55"/>
      <c r="W475" s="55"/>
      <c r="X475" s="55">
        <v>2500</v>
      </c>
      <c r="Y475" s="55">
        <f t="shared" si="70"/>
        <v>0</v>
      </c>
      <c r="Z475">
        <f t="shared" si="71"/>
        <v>0</v>
      </c>
      <c r="AA475">
        <f t="shared" si="72"/>
        <v>50</v>
      </c>
      <c r="AB475">
        <f t="shared" si="73"/>
        <v>0</v>
      </c>
      <c r="AC475">
        <f t="shared" si="74"/>
        <v>0</v>
      </c>
      <c r="AD475">
        <f t="shared" si="75"/>
        <v>0</v>
      </c>
      <c r="AE475">
        <f t="shared" si="76"/>
        <v>0</v>
      </c>
      <c r="AF475">
        <f t="shared" si="77"/>
        <v>300</v>
      </c>
      <c r="AG475">
        <f t="shared" si="78"/>
        <v>0</v>
      </c>
      <c r="AH475">
        <f t="shared" si="79"/>
        <v>2500</v>
      </c>
    </row>
    <row r="476" spans="1:34" ht="15.5" x14ac:dyDescent="0.35">
      <c r="A476" s="45" t="s">
        <v>29</v>
      </c>
      <c r="B476" s="45">
        <v>2018</v>
      </c>
      <c r="C476" s="45" t="s">
        <v>43</v>
      </c>
      <c r="D476" s="45" t="s">
        <v>140</v>
      </c>
      <c r="E476" s="55"/>
      <c r="F476" s="55"/>
      <c r="G476" s="55"/>
      <c r="H476" s="55"/>
      <c r="I476" s="55"/>
      <c r="J476" s="55"/>
      <c r="K476" s="56"/>
      <c r="L476" s="55"/>
      <c r="M476" s="55"/>
      <c r="N476" s="55"/>
      <c r="O476" s="55"/>
      <c r="P476" s="55"/>
      <c r="Q476" s="55"/>
      <c r="R476" s="55"/>
      <c r="S476" s="55">
        <v>2500</v>
      </c>
      <c r="T476" s="55"/>
      <c r="U476" s="55"/>
      <c r="V476" s="55"/>
      <c r="W476" s="55">
        <v>500</v>
      </c>
      <c r="X476" s="55"/>
      <c r="Y476" s="55">
        <f t="shared" si="70"/>
        <v>0</v>
      </c>
      <c r="Z476">
        <f t="shared" si="71"/>
        <v>0</v>
      </c>
      <c r="AA476">
        <f t="shared" si="72"/>
        <v>0</v>
      </c>
      <c r="AB476">
        <f t="shared" si="73"/>
        <v>0</v>
      </c>
      <c r="AC476">
        <f t="shared" si="74"/>
        <v>0</v>
      </c>
      <c r="AD476">
        <f t="shared" si="75"/>
        <v>0</v>
      </c>
      <c r="AE476">
        <f t="shared" si="76"/>
        <v>0</v>
      </c>
      <c r="AF476">
        <f t="shared" si="77"/>
        <v>2500</v>
      </c>
      <c r="AG476">
        <f t="shared" si="78"/>
        <v>0</v>
      </c>
      <c r="AH476">
        <f t="shared" si="79"/>
        <v>500</v>
      </c>
    </row>
    <row r="477" spans="1:34" ht="15.5" x14ac:dyDescent="0.35">
      <c r="A477" s="45" t="s">
        <v>29</v>
      </c>
      <c r="B477" s="45">
        <v>2018</v>
      </c>
      <c r="C477" s="45" t="s">
        <v>43</v>
      </c>
      <c r="D477" s="45" t="s">
        <v>143</v>
      </c>
      <c r="E477" s="55"/>
      <c r="F477" s="55"/>
      <c r="G477" s="55"/>
      <c r="H477" s="60"/>
      <c r="I477" s="55"/>
      <c r="J477" s="55"/>
      <c r="K477" s="55"/>
      <c r="L477" s="55"/>
      <c r="M477" s="55"/>
      <c r="N477" s="55"/>
      <c r="O477" s="55">
        <v>300</v>
      </c>
      <c r="P477" s="58"/>
      <c r="Q477" s="55"/>
      <c r="R477" s="55">
        <v>500</v>
      </c>
      <c r="S477" s="55"/>
      <c r="T477" s="55"/>
      <c r="U477" s="55"/>
      <c r="V477" s="55"/>
      <c r="W477" s="55"/>
      <c r="X477" s="55"/>
      <c r="Y477" s="55">
        <f t="shared" si="70"/>
        <v>0</v>
      </c>
      <c r="Z477">
        <f t="shared" si="71"/>
        <v>0</v>
      </c>
      <c r="AA477">
        <f t="shared" si="72"/>
        <v>0</v>
      </c>
      <c r="AB477">
        <f t="shared" si="73"/>
        <v>0</v>
      </c>
      <c r="AC477">
        <f t="shared" si="74"/>
        <v>0</v>
      </c>
      <c r="AD477">
        <f t="shared" si="75"/>
        <v>300</v>
      </c>
      <c r="AE477">
        <f t="shared" si="76"/>
        <v>500</v>
      </c>
      <c r="AF477">
        <f t="shared" si="77"/>
        <v>0</v>
      </c>
      <c r="AG477">
        <f t="shared" si="78"/>
        <v>0</v>
      </c>
      <c r="AH477">
        <f t="shared" si="79"/>
        <v>0</v>
      </c>
    </row>
    <row r="478" spans="1:34" ht="15.5" x14ac:dyDescent="0.35">
      <c r="A478" s="45" t="s">
        <v>29</v>
      </c>
      <c r="B478" s="45">
        <v>2019</v>
      </c>
      <c r="C478" s="45" t="s">
        <v>65</v>
      </c>
      <c r="D478" s="45" t="s">
        <v>54</v>
      </c>
      <c r="E478" s="55"/>
      <c r="F478" s="55"/>
      <c r="G478" s="55"/>
      <c r="H478" s="55"/>
      <c r="I478" s="55"/>
      <c r="J478" s="55"/>
      <c r="K478" s="57"/>
      <c r="L478" s="55"/>
      <c r="M478" s="55"/>
      <c r="N478" s="55">
        <v>2500</v>
      </c>
      <c r="O478" s="55"/>
      <c r="P478" s="55">
        <v>200</v>
      </c>
      <c r="Q478" s="55">
        <v>1000</v>
      </c>
      <c r="R478" s="55"/>
      <c r="S478" s="55"/>
      <c r="T478" s="55"/>
      <c r="U478" s="55"/>
      <c r="V478" s="55"/>
      <c r="W478" s="55"/>
      <c r="X478" s="55"/>
      <c r="Y478" s="55">
        <f t="shared" si="70"/>
        <v>0</v>
      </c>
      <c r="Z478">
        <f t="shared" si="71"/>
        <v>0</v>
      </c>
      <c r="AA478">
        <f t="shared" si="72"/>
        <v>0</v>
      </c>
      <c r="AB478">
        <f t="shared" si="73"/>
        <v>0</v>
      </c>
      <c r="AC478">
        <f t="shared" si="74"/>
        <v>2500</v>
      </c>
      <c r="AD478">
        <f t="shared" si="75"/>
        <v>200</v>
      </c>
      <c r="AE478">
        <f t="shared" si="76"/>
        <v>1000</v>
      </c>
      <c r="AF478">
        <f t="shared" si="77"/>
        <v>0</v>
      </c>
      <c r="AG478">
        <f t="shared" si="78"/>
        <v>0</v>
      </c>
      <c r="AH478">
        <f t="shared" si="79"/>
        <v>0</v>
      </c>
    </row>
    <row r="479" spans="1:34" x14ac:dyDescent="0.35">
      <c r="A479" s="45" t="s">
        <v>29</v>
      </c>
      <c r="B479" s="45">
        <v>2019</v>
      </c>
      <c r="C479" s="45" t="s">
        <v>65</v>
      </c>
      <c r="D479" s="45" t="s">
        <v>142</v>
      </c>
      <c r="E479" s="55"/>
      <c r="F479" s="55"/>
      <c r="G479" s="55"/>
      <c r="H479" s="55"/>
      <c r="I479" s="55"/>
      <c r="J479" s="55">
        <v>10000</v>
      </c>
      <c r="K479" s="55"/>
      <c r="L479" s="55"/>
      <c r="M479" s="55">
        <v>500</v>
      </c>
      <c r="N479" s="55"/>
      <c r="O479" s="55"/>
      <c r="P479" s="55"/>
      <c r="Q479" s="55"/>
      <c r="R479" s="55"/>
      <c r="S479" s="55"/>
      <c r="T479" s="55"/>
      <c r="U479" s="55"/>
      <c r="V479" s="55"/>
      <c r="W479" s="55"/>
      <c r="X479" s="55"/>
      <c r="Y479" s="55">
        <f t="shared" si="70"/>
        <v>0</v>
      </c>
      <c r="Z479">
        <f t="shared" si="71"/>
        <v>0</v>
      </c>
      <c r="AA479">
        <f t="shared" si="72"/>
        <v>10000</v>
      </c>
      <c r="AB479">
        <f t="shared" si="73"/>
        <v>0</v>
      </c>
      <c r="AC479">
        <f t="shared" si="74"/>
        <v>500</v>
      </c>
      <c r="AD479">
        <f t="shared" si="75"/>
        <v>0</v>
      </c>
      <c r="AE479">
        <f t="shared" si="76"/>
        <v>0</v>
      </c>
      <c r="AF479">
        <f t="shared" si="77"/>
        <v>0</v>
      </c>
      <c r="AG479">
        <f t="shared" si="78"/>
        <v>0</v>
      </c>
      <c r="AH479">
        <f t="shared" si="79"/>
        <v>0</v>
      </c>
    </row>
    <row r="480" spans="1:34" ht="15.5" x14ac:dyDescent="0.35">
      <c r="A480" s="45" t="s">
        <v>29</v>
      </c>
      <c r="B480" s="45">
        <v>2019</v>
      </c>
      <c r="C480" s="45" t="s">
        <v>43</v>
      </c>
      <c r="D480" s="45" t="s">
        <v>44</v>
      </c>
      <c r="E480" s="55"/>
      <c r="F480" s="55"/>
      <c r="G480" s="55">
        <v>2500</v>
      </c>
      <c r="H480" s="55"/>
      <c r="I480" s="55"/>
      <c r="J480" s="55"/>
      <c r="K480" s="59"/>
      <c r="L480" s="55">
        <v>1000</v>
      </c>
      <c r="M480" s="55"/>
      <c r="N480" s="55"/>
      <c r="O480" s="55"/>
      <c r="P480" s="55"/>
      <c r="Q480" s="55"/>
      <c r="R480" s="55"/>
      <c r="S480" s="55"/>
      <c r="T480" s="55"/>
      <c r="U480" s="55"/>
      <c r="V480" s="55"/>
      <c r="W480" s="55"/>
      <c r="X480" s="55"/>
      <c r="Y480" s="55">
        <f t="shared" si="70"/>
        <v>0</v>
      </c>
      <c r="Z480">
        <f t="shared" si="71"/>
        <v>2500</v>
      </c>
      <c r="AA480">
        <f t="shared" si="72"/>
        <v>0</v>
      </c>
      <c r="AB480">
        <f t="shared" si="73"/>
        <v>1000</v>
      </c>
      <c r="AC480">
        <f t="shared" si="74"/>
        <v>0</v>
      </c>
      <c r="AD480">
        <f t="shared" si="75"/>
        <v>0</v>
      </c>
      <c r="AE480">
        <f t="shared" si="76"/>
        <v>0</v>
      </c>
      <c r="AF480">
        <f t="shared" si="77"/>
        <v>0</v>
      </c>
      <c r="AG480">
        <f t="shared" si="78"/>
        <v>0</v>
      </c>
      <c r="AH480">
        <f t="shared" si="79"/>
        <v>0</v>
      </c>
    </row>
    <row r="481" spans="1:34" ht="15.5" x14ac:dyDescent="0.35">
      <c r="A481" s="45" t="s">
        <v>29</v>
      </c>
      <c r="B481" s="45">
        <v>2019</v>
      </c>
      <c r="C481" s="45" t="s">
        <v>43</v>
      </c>
      <c r="D481" s="45" t="s">
        <v>45</v>
      </c>
      <c r="E481" s="55"/>
      <c r="F481" s="55">
        <v>500</v>
      </c>
      <c r="G481" s="55"/>
      <c r="H481" s="55"/>
      <c r="I481" s="55"/>
      <c r="J481" s="55"/>
      <c r="K481" s="55">
        <v>50</v>
      </c>
      <c r="L481" s="55"/>
      <c r="M481" s="55"/>
      <c r="N481" s="55"/>
      <c r="O481" s="55"/>
      <c r="P481" s="55"/>
      <c r="Q481" s="55"/>
      <c r="R481" s="55"/>
      <c r="S481" s="55"/>
      <c r="T481" s="56"/>
      <c r="U481" s="55"/>
      <c r="V481" s="55"/>
      <c r="W481" s="55"/>
      <c r="X481" s="55"/>
      <c r="Y481" s="55">
        <f t="shared" si="70"/>
        <v>500</v>
      </c>
      <c r="Z481">
        <f t="shared" si="71"/>
        <v>0</v>
      </c>
      <c r="AA481">
        <f t="shared" si="72"/>
        <v>0</v>
      </c>
      <c r="AB481">
        <f t="shared" si="73"/>
        <v>50</v>
      </c>
      <c r="AC481">
        <f t="shared" si="74"/>
        <v>0</v>
      </c>
      <c r="AD481">
        <f t="shared" si="75"/>
        <v>0</v>
      </c>
      <c r="AE481">
        <f t="shared" si="76"/>
        <v>0</v>
      </c>
      <c r="AF481">
        <f t="shared" si="77"/>
        <v>0</v>
      </c>
      <c r="AG481">
        <f t="shared" si="78"/>
        <v>0</v>
      </c>
      <c r="AH481">
        <f t="shared" si="79"/>
        <v>0</v>
      </c>
    </row>
    <row r="482" spans="1:34" x14ac:dyDescent="0.35">
      <c r="A482" s="45" t="s">
        <v>29</v>
      </c>
      <c r="B482" s="45">
        <v>2019</v>
      </c>
      <c r="C482" s="45" t="s">
        <v>65</v>
      </c>
      <c r="D482" s="45" t="s">
        <v>46</v>
      </c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>
        <v>150</v>
      </c>
      <c r="U482" s="55"/>
      <c r="V482" s="55"/>
      <c r="W482" s="55"/>
      <c r="X482" s="55"/>
      <c r="Y482" s="55">
        <f t="shared" si="70"/>
        <v>0</v>
      </c>
      <c r="Z482">
        <f t="shared" si="71"/>
        <v>0</v>
      </c>
      <c r="AA482">
        <f t="shared" si="72"/>
        <v>0</v>
      </c>
      <c r="AB482">
        <f t="shared" si="73"/>
        <v>0</v>
      </c>
      <c r="AC482">
        <f t="shared" si="74"/>
        <v>0</v>
      </c>
      <c r="AD482">
        <f t="shared" si="75"/>
        <v>0</v>
      </c>
      <c r="AE482">
        <f t="shared" si="76"/>
        <v>0</v>
      </c>
      <c r="AF482">
        <f t="shared" si="77"/>
        <v>150</v>
      </c>
      <c r="AG482">
        <f t="shared" si="78"/>
        <v>0</v>
      </c>
      <c r="AH482">
        <f t="shared" si="79"/>
        <v>0</v>
      </c>
    </row>
    <row r="483" spans="1:34" ht="15.5" x14ac:dyDescent="0.35">
      <c r="A483" s="45" t="s">
        <v>29</v>
      </c>
      <c r="B483" s="45">
        <v>2019</v>
      </c>
      <c r="C483" s="45" t="s">
        <v>65</v>
      </c>
      <c r="D483" s="45" t="s">
        <v>46</v>
      </c>
      <c r="E483" s="55"/>
      <c r="F483" s="55"/>
      <c r="G483" s="55"/>
      <c r="H483" s="55"/>
      <c r="I483" s="55"/>
      <c r="J483" s="55"/>
      <c r="K483" s="59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55">
        <v>340</v>
      </c>
      <c r="W483" s="55"/>
      <c r="X483" s="55"/>
      <c r="Y483" s="55">
        <f t="shared" si="70"/>
        <v>0</v>
      </c>
      <c r="Z483">
        <f t="shared" si="71"/>
        <v>0</v>
      </c>
      <c r="AA483">
        <f t="shared" si="72"/>
        <v>0</v>
      </c>
      <c r="AB483">
        <f t="shared" si="73"/>
        <v>0</v>
      </c>
      <c r="AC483">
        <f t="shared" si="74"/>
        <v>0</v>
      </c>
      <c r="AD483">
        <f t="shared" si="75"/>
        <v>0</v>
      </c>
      <c r="AE483">
        <f t="shared" si="76"/>
        <v>0</v>
      </c>
      <c r="AF483">
        <f t="shared" si="77"/>
        <v>0</v>
      </c>
      <c r="AG483">
        <f t="shared" si="78"/>
        <v>340</v>
      </c>
      <c r="AH483">
        <f t="shared" si="79"/>
        <v>0</v>
      </c>
    </row>
    <row r="484" spans="1:34" ht="15.5" x14ac:dyDescent="0.35">
      <c r="A484" s="45" t="s">
        <v>29</v>
      </c>
      <c r="B484" s="45">
        <v>2019</v>
      </c>
      <c r="C484" s="45" t="s">
        <v>43</v>
      </c>
      <c r="D484" s="45" t="s">
        <v>139</v>
      </c>
      <c r="E484" s="55"/>
      <c r="F484" s="55">
        <v>500</v>
      </c>
      <c r="G484" s="55"/>
      <c r="H484" s="55"/>
      <c r="I484" s="55"/>
      <c r="J484" s="55"/>
      <c r="K484" s="55"/>
      <c r="L484" s="55"/>
      <c r="M484" s="55"/>
      <c r="N484" s="55"/>
      <c r="O484" s="55">
        <v>300</v>
      </c>
      <c r="P484" s="55"/>
      <c r="Q484" s="55"/>
      <c r="R484" s="56"/>
      <c r="S484" s="55"/>
      <c r="T484" s="55"/>
      <c r="U484" s="55"/>
      <c r="V484" s="55"/>
      <c r="W484" s="55"/>
      <c r="X484" s="55"/>
      <c r="Y484" s="55">
        <f t="shared" si="70"/>
        <v>500</v>
      </c>
      <c r="Z484">
        <f t="shared" si="71"/>
        <v>0</v>
      </c>
      <c r="AA484">
        <f t="shared" si="72"/>
        <v>0</v>
      </c>
      <c r="AB484">
        <f t="shared" si="73"/>
        <v>0</v>
      </c>
      <c r="AC484">
        <f t="shared" si="74"/>
        <v>0</v>
      </c>
      <c r="AD484">
        <f t="shared" si="75"/>
        <v>300</v>
      </c>
      <c r="AE484">
        <f t="shared" si="76"/>
        <v>0</v>
      </c>
      <c r="AF484">
        <f t="shared" si="77"/>
        <v>0</v>
      </c>
      <c r="AG484">
        <f t="shared" si="78"/>
        <v>0</v>
      </c>
      <c r="AH484">
        <f t="shared" si="79"/>
        <v>0</v>
      </c>
    </row>
    <row r="485" spans="1:34" ht="15.5" x14ac:dyDescent="0.35">
      <c r="A485" s="45" t="s">
        <v>29</v>
      </c>
      <c r="B485" s="45">
        <v>2019</v>
      </c>
      <c r="C485" s="45" t="s">
        <v>43</v>
      </c>
      <c r="D485" s="45" t="s">
        <v>44</v>
      </c>
      <c r="E485" s="55"/>
      <c r="F485" s="55"/>
      <c r="G485" s="55"/>
      <c r="H485" s="55"/>
      <c r="I485" s="55"/>
      <c r="J485" s="59"/>
      <c r="K485" s="55"/>
      <c r="L485" s="55">
        <v>300</v>
      </c>
      <c r="M485" s="55"/>
      <c r="N485" s="55">
        <v>2000</v>
      </c>
      <c r="O485" s="55"/>
      <c r="P485" s="55"/>
      <c r="Q485" s="55"/>
      <c r="R485" s="55"/>
      <c r="S485" s="55"/>
      <c r="T485" s="55"/>
      <c r="U485" s="55"/>
      <c r="V485" s="55">
        <v>300</v>
      </c>
      <c r="W485" s="55"/>
      <c r="X485" s="55"/>
      <c r="Y485" s="55">
        <f t="shared" si="70"/>
        <v>0</v>
      </c>
      <c r="Z485">
        <f t="shared" si="71"/>
        <v>0</v>
      </c>
      <c r="AA485">
        <f t="shared" si="72"/>
        <v>0</v>
      </c>
      <c r="AB485">
        <f t="shared" si="73"/>
        <v>300</v>
      </c>
      <c r="AC485">
        <f t="shared" si="74"/>
        <v>2000</v>
      </c>
      <c r="AD485">
        <f t="shared" si="75"/>
        <v>0</v>
      </c>
      <c r="AE485">
        <f t="shared" si="76"/>
        <v>0</v>
      </c>
      <c r="AF485">
        <f t="shared" si="77"/>
        <v>0</v>
      </c>
      <c r="AG485">
        <f t="shared" si="78"/>
        <v>300</v>
      </c>
      <c r="AH485">
        <f t="shared" si="79"/>
        <v>0</v>
      </c>
    </row>
    <row r="486" spans="1:34" ht="15.5" x14ac:dyDescent="0.35">
      <c r="A486" s="45" t="s">
        <v>29</v>
      </c>
      <c r="B486" s="45">
        <v>2020</v>
      </c>
      <c r="C486" s="45" t="s">
        <v>65</v>
      </c>
      <c r="D486" s="45" t="s">
        <v>69</v>
      </c>
      <c r="E486" s="55">
        <v>500</v>
      </c>
      <c r="F486" s="55"/>
      <c r="G486" s="55"/>
      <c r="H486" s="55"/>
      <c r="I486" s="55"/>
      <c r="J486" s="55"/>
      <c r="K486" s="55">
        <v>2500</v>
      </c>
      <c r="L486" s="55"/>
      <c r="M486" s="55"/>
      <c r="N486" s="55"/>
      <c r="O486" s="55"/>
      <c r="P486" s="55"/>
      <c r="Q486" s="55"/>
      <c r="R486" s="57"/>
      <c r="S486" s="55"/>
      <c r="T486" s="55"/>
      <c r="U486" s="55">
        <v>2500</v>
      </c>
      <c r="V486" s="55"/>
      <c r="W486" s="55"/>
      <c r="X486" s="55"/>
      <c r="Y486" s="55">
        <f t="shared" si="70"/>
        <v>500</v>
      </c>
      <c r="Z486">
        <f t="shared" si="71"/>
        <v>0</v>
      </c>
      <c r="AA486">
        <f t="shared" si="72"/>
        <v>0</v>
      </c>
      <c r="AB486">
        <f t="shared" si="73"/>
        <v>2500</v>
      </c>
      <c r="AC486">
        <f t="shared" si="74"/>
        <v>0</v>
      </c>
      <c r="AD486">
        <f t="shared" si="75"/>
        <v>0</v>
      </c>
      <c r="AE486">
        <f t="shared" si="76"/>
        <v>0</v>
      </c>
      <c r="AF486">
        <f t="shared" si="77"/>
        <v>0</v>
      </c>
      <c r="AG486">
        <f t="shared" si="78"/>
        <v>2500</v>
      </c>
      <c r="AH486">
        <f t="shared" si="79"/>
        <v>0</v>
      </c>
    </row>
    <row r="487" spans="1:34" x14ac:dyDescent="0.35">
      <c r="A487" s="45" t="s">
        <v>29</v>
      </c>
      <c r="B487" s="45">
        <v>2020</v>
      </c>
      <c r="C487" s="45" t="s">
        <v>65</v>
      </c>
      <c r="D487" s="45" t="s">
        <v>140</v>
      </c>
      <c r="E487" s="55">
        <v>300</v>
      </c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>
        <v>1000</v>
      </c>
      <c r="Q487" s="55">
        <v>10000</v>
      </c>
      <c r="R487" s="55"/>
      <c r="S487" s="55"/>
      <c r="T487" s="55">
        <v>500</v>
      </c>
      <c r="U487" s="55"/>
      <c r="V487" s="55"/>
      <c r="W487" s="55"/>
      <c r="X487" s="55">
        <v>12000</v>
      </c>
      <c r="Y487" s="55">
        <f t="shared" si="70"/>
        <v>300</v>
      </c>
      <c r="Z487">
        <f t="shared" si="71"/>
        <v>0</v>
      </c>
      <c r="AA487">
        <f t="shared" si="72"/>
        <v>0</v>
      </c>
      <c r="AB487">
        <f t="shared" si="73"/>
        <v>0</v>
      </c>
      <c r="AC487">
        <f t="shared" si="74"/>
        <v>0</v>
      </c>
      <c r="AD487">
        <f t="shared" si="75"/>
        <v>1000</v>
      </c>
      <c r="AE487">
        <f t="shared" si="76"/>
        <v>10000</v>
      </c>
      <c r="AF487">
        <f t="shared" si="77"/>
        <v>500</v>
      </c>
      <c r="AG487">
        <f t="shared" si="78"/>
        <v>0</v>
      </c>
      <c r="AH487">
        <f t="shared" si="79"/>
        <v>12000</v>
      </c>
    </row>
    <row r="488" spans="1:34" ht="15.5" x14ac:dyDescent="0.35">
      <c r="A488" s="45" t="s">
        <v>29</v>
      </c>
      <c r="B488" s="45">
        <v>2020</v>
      </c>
      <c r="C488" s="45" t="s">
        <v>43</v>
      </c>
      <c r="D488" s="45" t="s">
        <v>143</v>
      </c>
      <c r="E488" s="55"/>
      <c r="F488" s="55"/>
      <c r="G488" s="55">
        <v>2000</v>
      </c>
      <c r="H488" s="55">
        <v>1500</v>
      </c>
      <c r="I488" s="55"/>
      <c r="J488" s="55">
        <v>300</v>
      </c>
      <c r="K488" s="55"/>
      <c r="L488" s="55"/>
      <c r="M488" s="55"/>
      <c r="N488" s="55"/>
      <c r="O488" s="55">
        <v>700</v>
      </c>
      <c r="P488" s="55"/>
      <c r="Q488" s="55"/>
      <c r="R488" s="59"/>
      <c r="S488" s="55">
        <v>1000</v>
      </c>
      <c r="T488" s="55"/>
      <c r="U488" s="55"/>
      <c r="V488" s="55"/>
      <c r="W488" s="55"/>
      <c r="X488" s="55"/>
      <c r="Y488" s="55">
        <f t="shared" si="70"/>
        <v>0</v>
      </c>
      <c r="Z488">
        <f t="shared" si="71"/>
        <v>3500</v>
      </c>
      <c r="AA488">
        <f t="shared" si="72"/>
        <v>300</v>
      </c>
      <c r="AB488">
        <f t="shared" si="73"/>
        <v>0</v>
      </c>
      <c r="AC488">
        <f t="shared" si="74"/>
        <v>0</v>
      </c>
      <c r="AD488">
        <f t="shared" si="75"/>
        <v>700</v>
      </c>
      <c r="AE488">
        <f t="shared" si="76"/>
        <v>0</v>
      </c>
      <c r="AF488">
        <f t="shared" si="77"/>
        <v>1000</v>
      </c>
      <c r="AG488">
        <f t="shared" si="78"/>
        <v>0</v>
      </c>
      <c r="AH488">
        <f t="shared" si="79"/>
        <v>0</v>
      </c>
    </row>
    <row r="489" spans="1:34" ht="15.5" x14ac:dyDescent="0.35">
      <c r="A489" s="45" t="s">
        <v>29</v>
      </c>
      <c r="B489" s="45">
        <v>2020</v>
      </c>
      <c r="C489" s="45" t="s">
        <v>43</v>
      </c>
      <c r="D489" s="45" t="s">
        <v>54</v>
      </c>
      <c r="E489" s="55"/>
      <c r="F489" s="55"/>
      <c r="G489" s="55"/>
      <c r="H489" s="55"/>
      <c r="I489" s="55"/>
      <c r="J489" s="56">
        <v>3000</v>
      </c>
      <c r="K489" s="55"/>
      <c r="L489" s="55"/>
      <c r="M489" s="55">
        <v>1000</v>
      </c>
      <c r="N489" s="55"/>
      <c r="O489" s="55"/>
      <c r="P489" s="55"/>
      <c r="Q489" s="55"/>
      <c r="R489" s="55">
        <v>50</v>
      </c>
      <c r="S489" s="55"/>
      <c r="T489" s="55"/>
      <c r="U489" s="55"/>
      <c r="V489" s="55"/>
      <c r="W489" s="55"/>
      <c r="X489" s="55"/>
      <c r="Y489" s="55">
        <f t="shared" si="70"/>
        <v>0</v>
      </c>
      <c r="Z489">
        <f t="shared" si="71"/>
        <v>0</v>
      </c>
      <c r="AA489">
        <f t="shared" si="72"/>
        <v>3000</v>
      </c>
      <c r="AB489">
        <f t="shared" si="73"/>
        <v>0</v>
      </c>
      <c r="AC489">
        <f t="shared" si="74"/>
        <v>1000</v>
      </c>
      <c r="AD489">
        <f t="shared" si="75"/>
        <v>0</v>
      </c>
      <c r="AE489">
        <f t="shared" si="76"/>
        <v>50</v>
      </c>
      <c r="AF489">
        <f t="shared" si="77"/>
        <v>0</v>
      </c>
      <c r="AG489">
        <f t="shared" si="78"/>
        <v>0</v>
      </c>
      <c r="AH489">
        <f t="shared" si="79"/>
        <v>0</v>
      </c>
    </row>
    <row r="490" spans="1:34" ht="15.5" x14ac:dyDescent="0.35">
      <c r="A490" s="45" t="s">
        <v>29</v>
      </c>
      <c r="B490" s="45">
        <v>2020</v>
      </c>
      <c r="C490" s="45" t="s">
        <v>65</v>
      </c>
      <c r="D490" s="45" t="s">
        <v>142</v>
      </c>
      <c r="E490" s="55"/>
      <c r="F490" s="55"/>
      <c r="G490" s="55"/>
      <c r="H490" s="55"/>
      <c r="I490" s="55"/>
      <c r="J490" s="55">
        <v>2000</v>
      </c>
      <c r="K490" s="55"/>
      <c r="L490" s="55"/>
      <c r="M490" s="55"/>
      <c r="N490" s="55"/>
      <c r="O490" s="55"/>
      <c r="P490" s="55"/>
      <c r="Q490" s="55"/>
      <c r="R490" s="55"/>
      <c r="S490" s="56"/>
      <c r="T490" s="55"/>
      <c r="U490" s="55"/>
      <c r="V490" s="55"/>
      <c r="W490" s="55"/>
      <c r="X490" s="55"/>
      <c r="Y490" s="55">
        <f t="shared" si="70"/>
        <v>0</v>
      </c>
      <c r="Z490">
        <f t="shared" si="71"/>
        <v>0</v>
      </c>
      <c r="AA490">
        <f t="shared" si="72"/>
        <v>2000</v>
      </c>
      <c r="AB490">
        <f t="shared" si="73"/>
        <v>0</v>
      </c>
      <c r="AC490">
        <f t="shared" si="74"/>
        <v>0</v>
      </c>
      <c r="AD490">
        <f t="shared" si="75"/>
        <v>0</v>
      </c>
      <c r="AE490">
        <f t="shared" si="76"/>
        <v>0</v>
      </c>
      <c r="AF490">
        <f t="shared" si="77"/>
        <v>0</v>
      </c>
      <c r="AG490">
        <f t="shared" si="78"/>
        <v>0</v>
      </c>
      <c r="AH490">
        <f t="shared" si="79"/>
        <v>0</v>
      </c>
    </row>
    <row r="491" spans="1:34" ht="15.5" x14ac:dyDescent="0.35">
      <c r="A491" s="45" t="s">
        <v>29</v>
      </c>
      <c r="B491" s="45">
        <v>2020</v>
      </c>
      <c r="C491" s="45" t="s">
        <v>65</v>
      </c>
      <c r="D491" s="45" t="s">
        <v>44</v>
      </c>
      <c r="E491" s="55"/>
      <c r="F491" s="55"/>
      <c r="G491" s="55"/>
      <c r="H491" s="55"/>
      <c r="I491" s="55">
        <v>1500</v>
      </c>
      <c r="J491" s="55"/>
      <c r="K491" s="55"/>
      <c r="L491" s="55"/>
      <c r="M491" s="55"/>
      <c r="N491" s="55"/>
      <c r="O491" s="55"/>
      <c r="P491" s="60"/>
      <c r="Q491" s="55"/>
      <c r="R491" s="55"/>
      <c r="S491" s="55"/>
      <c r="T491" s="55"/>
      <c r="U491" s="55"/>
      <c r="V491" s="55"/>
      <c r="W491" s="55">
        <v>300</v>
      </c>
      <c r="X491" s="55"/>
      <c r="Y491" s="55">
        <f t="shared" si="70"/>
        <v>0</v>
      </c>
      <c r="Z491">
        <f t="shared" si="71"/>
        <v>0</v>
      </c>
      <c r="AA491">
        <f t="shared" si="72"/>
        <v>1500</v>
      </c>
      <c r="AB491">
        <f t="shared" si="73"/>
        <v>0</v>
      </c>
      <c r="AC491">
        <f t="shared" si="74"/>
        <v>0</v>
      </c>
      <c r="AD491">
        <f t="shared" si="75"/>
        <v>0</v>
      </c>
      <c r="AE491">
        <f t="shared" si="76"/>
        <v>0</v>
      </c>
      <c r="AF491">
        <f t="shared" si="77"/>
        <v>0</v>
      </c>
      <c r="AG491">
        <f t="shared" si="78"/>
        <v>0</v>
      </c>
      <c r="AH491">
        <f t="shared" si="79"/>
        <v>300</v>
      </c>
    </row>
    <row r="492" spans="1:34" ht="15.5" x14ac:dyDescent="0.35">
      <c r="A492" s="45" t="s">
        <v>29</v>
      </c>
      <c r="B492" s="45">
        <v>2020</v>
      </c>
      <c r="C492" s="45" t="s">
        <v>43</v>
      </c>
      <c r="D492" s="45" t="s">
        <v>45</v>
      </c>
      <c r="E492" s="55"/>
      <c r="F492" s="55"/>
      <c r="G492" s="55"/>
      <c r="H492" s="55">
        <v>300</v>
      </c>
      <c r="I492" s="55"/>
      <c r="J492" s="55"/>
      <c r="K492" s="55"/>
      <c r="L492" s="55">
        <v>2500</v>
      </c>
      <c r="M492" s="55"/>
      <c r="N492" s="55"/>
      <c r="O492" s="55"/>
      <c r="P492" s="55"/>
      <c r="Q492" s="55"/>
      <c r="R492" s="55"/>
      <c r="S492" s="57"/>
      <c r="T492" s="55"/>
      <c r="U492" s="55"/>
      <c r="V492" s="55">
        <v>2500</v>
      </c>
      <c r="W492" s="55"/>
      <c r="X492" s="55"/>
      <c r="Y492" s="55">
        <f t="shared" si="70"/>
        <v>0</v>
      </c>
      <c r="Z492">
        <f t="shared" si="71"/>
        <v>300</v>
      </c>
      <c r="AA492">
        <f t="shared" si="72"/>
        <v>0</v>
      </c>
      <c r="AB492">
        <f t="shared" si="73"/>
        <v>2500</v>
      </c>
      <c r="AC492">
        <f t="shared" si="74"/>
        <v>0</v>
      </c>
      <c r="AD492">
        <f t="shared" si="75"/>
        <v>0</v>
      </c>
      <c r="AE492">
        <f t="shared" si="76"/>
        <v>0</v>
      </c>
      <c r="AF492">
        <f t="shared" si="77"/>
        <v>0</v>
      </c>
      <c r="AG492">
        <f t="shared" si="78"/>
        <v>2500</v>
      </c>
      <c r="AH492">
        <f t="shared" si="79"/>
        <v>0</v>
      </c>
    </row>
    <row r="493" spans="1:34" x14ac:dyDescent="0.35">
      <c r="A493" s="45" t="s">
        <v>29</v>
      </c>
      <c r="B493" s="45">
        <v>2021</v>
      </c>
      <c r="C493" s="45" t="s">
        <v>43</v>
      </c>
      <c r="D493" s="45" t="s">
        <v>46</v>
      </c>
      <c r="E493" s="55"/>
      <c r="F493" s="55"/>
      <c r="G493" s="55">
        <v>2500</v>
      </c>
      <c r="H493" s="55"/>
      <c r="I493" s="55"/>
      <c r="J493" s="55"/>
      <c r="K493" s="55">
        <v>500</v>
      </c>
      <c r="L493" s="55"/>
      <c r="M493" s="55"/>
      <c r="N493" s="55"/>
      <c r="O493" s="55"/>
      <c r="P493" s="55"/>
      <c r="Q493" s="55"/>
      <c r="R493" s="55">
        <v>10000</v>
      </c>
      <c r="S493" s="55"/>
      <c r="T493" s="55"/>
      <c r="U493" s="55">
        <v>500</v>
      </c>
      <c r="V493" s="55"/>
      <c r="W493" s="55"/>
      <c r="X493" s="55"/>
      <c r="Y493" s="55">
        <f t="shared" si="70"/>
        <v>0</v>
      </c>
      <c r="Z493">
        <f t="shared" si="71"/>
        <v>2500</v>
      </c>
      <c r="AA493">
        <f t="shared" si="72"/>
        <v>0</v>
      </c>
      <c r="AB493">
        <f t="shared" si="73"/>
        <v>500</v>
      </c>
      <c r="AC493">
        <f t="shared" si="74"/>
        <v>0</v>
      </c>
      <c r="AD493">
        <f t="shared" si="75"/>
        <v>0</v>
      </c>
      <c r="AE493">
        <f t="shared" si="76"/>
        <v>10000</v>
      </c>
      <c r="AF493">
        <f t="shared" si="77"/>
        <v>0</v>
      </c>
      <c r="AG493">
        <f t="shared" si="78"/>
        <v>500</v>
      </c>
      <c r="AH493">
        <f t="shared" si="79"/>
        <v>0</v>
      </c>
    </row>
    <row r="494" spans="1:34" ht="15.5" x14ac:dyDescent="0.35">
      <c r="A494" s="45" t="s">
        <v>29</v>
      </c>
      <c r="B494" s="45">
        <v>2021</v>
      </c>
      <c r="C494" s="45" t="s">
        <v>65</v>
      </c>
      <c r="D494" s="45" t="s">
        <v>46</v>
      </c>
      <c r="E494" s="55"/>
      <c r="F494" s="55">
        <v>500</v>
      </c>
      <c r="G494" s="55"/>
      <c r="H494" s="55"/>
      <c r="I494" s="55"/>
      <c r="J494" s="55"/>
      <c r="K494" s="55"/>
      <c r="L494" s="55"/>
      <c r="M494" s="55"/>
      <c r="N494" s="55"/>
      <c r="O494" s="55">
        <v>2500</v>
      </c>
      <c r="P494" s="55"/>
      <c r="Q494" s="55"/>
      <c r="R494" s="55"/>
      <c r="S494" s="59"/>
      <c r="T494" s="55">
        <v>1000</v>
      </c>
      <c r="U494" s="55"/>
      <c r="V494" s="55"/>
      <c r="W494" s="55"/>
      <c r="X494" s="55"/>
      <c r="Y494" s="55">
        <f t="shared" si="70"/>
        <v>500</v>
      </c>
      <c r="Z494">
        <f t="shared" si="71"/>
        <v>0</v>
      </c>
      <c r="AA494">
        <f t="shared" si="72"/>
        <v>0</v>
      </c>
      <c r="AB494">
        <f t="shared" si="73"/>
        <v>0</v>
      </c>
      <c r="AC494">
        <f t="shared" si="74"/>
        <v>0</v>
      </c>
      <c r="AD494">
        <f t="shared" si="75"/>
        <v>2500</v>
      </c>
      <c r="AE494">
        <f t="shared" si="76"/>
        <v>0</v>
      </c>
      <c r="AF494">
        <f t="shared" si="77"/>
        <v>1000</v>
      </c>
      <c r="AG494">
        <f t="shared" si="78"/>
        <v>0</v>
      </c>
      <c r="AH494">
        <f t="shared" si="79"/>
        <v>0</v>
      </c>
    </row>
    <row r="495" spans="1:34" ht="15.5" x14ac:dyDescent="0.35">
      <c r="A495" s="45" t="s">
        <v>29</v>
      </c>
      <c r="B495" s="45">
        <v>2021</v>
      </c>
      <c r="C495" s="45" t="s">
        <v>65</v>
      </c>
      <c r="D495" s="45" t="s">
        <v>139</v>
      </c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6"/>
      <c r="U495" s="55"/>
      <c r="V495" s="55">
        <v>12000</v>
      </c>
      <c r="W495" s="55">
        <v>2500</v>
      </c>
      <c r="X495" s="55"/>
      <c r="Y495" s="55">
        <f t="shared" si="70"/>
        <v>0</v>
      </c>
      <c r="Z495">
        <f t="shared" si="71"/>
        <v>0</v>
      </c>
      <c r="AA495">
        <f t="shared" si="72"/>
        <v>0</v>
      </c>
      <c r="AB495">
        <f t="shared" si="73"/>
        <v>0</v>
      </c>
      <c r="AC495">
        <f t="shared" si="74"/>
        <v>0</v>
      </c>
      <c r="AD495">
        <f t="shared" si="75"/>
        <v>0</v>
      </c>
      <c r="AE495">
        <f t="shared" si="76"/>
        <v>0</v>
      </c>
      <c r="AF495">
        <f t="shared" si="77"/>
        <v>0</v>
      </c>
      <c r="AG495">
        <f t="shared" si="78"/>
        <v>12000</v>
      </c>
      <c r="AH495">
        <f t="shared" si="79"/>
        <v>2500</v>
      </c>
    </row>
    <row r="496" spans="1:34" x14ac:dyDescent="0.35">
      <c r="A496" s="45" t="s">
        <v>29</v>
      </c>
      <c r="B496" s="45">
        <v>2021</v>
      </c>
      <c r="C496" s="45" t="s">
        <v>43</v>
      </c>
      <c r="D496" s="45" t="s">
        <v>44</v>
      </c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55"/>
      <c r="X496" s="55"/>
      <c r="Y496" s="55">
        <f t="shared" si="70"/>
        <v>0</v>
      </c>
      <c r="Z496">
        <f t="shared" si="71"/>
        <v>0</v>
      </c>
      <c r="AA496">
        <f t="shared" si="72"/>
        <v>0</v>
      </c>
      <c r="AB496">
        <f t="shared" si="73"/>
        <v>0</v>
      </c>
      <c r="AC496">
        <f t="shared" si="74"/>
        <v>0</v>
      </c>
      <c r="AD496">
        <f t="shared" si="75"/>
        <v>0</v>
      </c>
      <c r="AE496">
        <f t="shared" si="76"/>
        <v>0</v>
      </c>
      <c r="AF496">
        <f t="shared" si="77"/>
        <v>0</v>
      </c>
      <c r="AG496">
        <f t="shared" si="78"/>
        <v>0</v>
      </c>
      <c r="AH496">
        <f t="shared" si="79"/>
        <v>0</v>
      </c>
    </row>
    <row r="497" spans="1:34" ht="15.5" x14ac:dyDescent="0.35">
      <c r="A497" s="45" t="s">
        <v>29</v>
      </c>
      <c r="B497" s="45">
        <v>2021</v>
      </c>
      <c r="C497" s="45" t="s">
        <v>43</v>
      </c>
      <c r="D497" s="45" t="s">
        <v>69</v>
      </c>
      <c r="E497" s="55"/>
      <c r="F497" s="55"/>
      <c r="G497" s="55"/>
      <c r="H497" s="55"/>
      <c r="I497" s="55"/>
      <c r="J497" s="56">
        <v>8175</v>
      </c>
      <c r="K497" s="55"/>
      <c r="L497" s="55"/>
      <c r="M497" s="55"/>
      <c r="N497" s="55"/>
      <c r="O497" s="55"/>
      <c r="P497" s="55"/>
      <c r="Q497" s="55"/>
      <c r="R497" s="55"/>
      <c r="S497" s="55"/>
      <c r="T497" s="56"/>
      <c r="U497" s="55"/>
      <c r="V497" s="55"/>
      <c r="W497" s="55"/>
      <c r="X497" s="55"/>
      <c r="Y497" s="55">
        <f t="shared" si="70"/>
        <v>0</v>
      </c>
      <c r="Z497">
        <f t="shared" si="71"/>
        <v>0</v>
      </c>
      <c r="AA497">
        <f t="shared" si="72"/>
        <v>8175</v>
      </c>
      <c r="AB497">
        <f t="shared" si="73"/>
        <v>0</v>
      </c>
      <c r="AC497">
        <f t="shared" si="74"/>
        <v>0</v>
      </c>
      <c r="AD497">
        <f t="shared" si="75"/>
        <v>0</v>
      </c>
      <c r="AE497">
        <f t="shared" si="76"/>
        <v>0</v>
      </c>
      <c r="AF497">
        <f t="shared" si="77"/>
        <v>0</v>
      </c>
      <c r="AG497">
        <f t="shared" si="78"/>
        <v>0</v>
      </c>
      <c r="AH497">
        <f t="shared" si="79"/>
        <v>0</v>
      </c>
    </row>
    <row r="498" spans="1:34" x14ac:dyDescent="0.35">
      <c r="A498" s="45" t="s">
        <v>29</v>
      </c>
      <c r="B498" s="45">
        <v>2021</v>
      </c>
      <c r="C498" s="45" t="s">
        <v>65</v>
      </c>
      <c r="D498" s="45" t="s">
        <v>140</v>
      </c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>
        <v>2500</v>
      </c>
      <c r="Q498" s="55"/>
      <c r="R498" s="55"/>
      <c r="S498" s="55"/>
      <c r="T498" s="55"/>
      <c r="U498" s="55"/>
      <c r="V498" s="55"/>
      <c r="W498" s="55"/>
      <c r="X498" s="55"/>
      <c r="Y498" s="55">
        <f t="shared" si="70"/>
        <v>0</v>
      </c>
      <c r="Z498">
        <f t="shared" si="71"/>
        <v>0</v>
      </c>
      <c r="AA498">
        <f t="shared" si="72"/>
        <v>0</v>
      </c>
      <c r="AB498">
        <f t="shared" si="73"/>
        <v>0</v>
      </c>
      <c r="AC498">
        <f t="shared" si="74"/>
        <v>0</v>
      </c>
      <c r="AD498">
        <f t="shared" si="75"/>
        <v>2500</v>
      </c>
      <c r="AE498">
        <f t="shared" si="76"/>
        <v>0</v>
      </c>
      <c r="AF498">
        <f t="shared" si="77"/>
        <v>0</v>
      </c>
      <c r="AG498">
        <f t="shared" si="78"/>
        <v>0</v>
      </c>
      <c r="AH498">
        <f t="shared" si="79"/>
        <v>0</v>
      </c>
    </row>
    <row r="499" spans="1:34" x14ac:dyDescent="0.35">
      <c r="A499" s="45" t="s">
        <v>29</v>
      </c>
      <c r="B499" s="45">
        <v>2021</v>
      </c>
      <c r="C499" s="45" t="s">
        <v>65</v>
      </c>
      <c r="D499" s="45" t="s">
        <v>143</v>
      </c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>
        <v>300</v>
      </c>
      <c r="W499" s="55"/>
      <c r="X499" s="55"/>
      <c r="Y499" s="55">
        <f t="shared" si="70"/>
        <v>0</v>
      </c>
      <c r="Z499">
        <f t="shared" si="71"/>
        <v>0</v>
      </c>
      <c r="AA499">
        <f t="shared" si="72"/>
        <v>0</v>
      </c>
      <c r="AB499">
        <f t="shared" si="73"/>
        <v>0</v>
      </c>
      <c r="AC499">
        <f t="shared" si="74"/>
        <v>0</v>
      </c>
      <c r="AD499">
        <f t="shared" si="75"/>
        <v>0</v>
      </c>
      <c r="AE499">
        <f t="shared" si="76"/>
        <v>0</v>
      </c>
      <c r="AF499">
        <f t="shared" si="77"/>
        <v>0</v>
      </c>
      <c r="AG499">
        <f t="shared" si="78"/>
        <v>300</v>
      </c>
      <c r="AH499">
        <f t="shared" si="79"/>
        <v>0</v>
      </c>
    </row>
    <row r="500" spans="1:34" ht="15.5" x14ac:dyDescent="0.35">
      <c r="A500" s="45" t="s">
        <v>29</v>
      </c>
      <c r="B500" s="45">
        <v>2021</v>
      </c>
      <c r="C500" s="45" t="s">
        <v>43</v>
      </c>
      <c r="D500" s="45" t="s">
        <v>54</v>
      </c>
      <c r="E500" s="55"/>
      <c r="F500" s="55"/>
      <c r="G500" s="55"/>
      <c r="H500" s="55">
        <v>300</v>
      </c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6"/>
      <c r="U500" s="55"/>
      <c r="V500" s="55"/>
      <c r="W500" s="55"/>
      <c r="X500" s="55"/>
      <c r="Y500" s="55">
        <f t="shared" si="70"/>
        <v>0</v>
      </c>
      <c r="Z500">
        <f t="shared" si="71"/>
        <v>300</v>
      </c>
      <c r="AA500">
        <f t="shared" si="72"/>
        <v>0</v>
      </c>
      <c r="AB500">
        <f t="shared" si="73"/>
        <v>0</v>
      </c>
      <c r="AC500">
        <f t="shared" si="74"/>
        <v>0</v>
      </c>
      <c r="AD500">
        <f t="shared" si="75"/>
        <v>0</v>
      </c>
      <c r="AE500">
        <f t="shared" si="76"/>
        <v>0</v>
      </c>
      <c r="AF500">
        <f t="shared" si="77"/>
        <v>0</v>
      </c>
      <c r="AG500">
        <f t="shared" si="78"/>
        <v>0</v>
      </c>
      <c r="AH500">
        <f t="shared" si="79"/>
        <v>0</v>
      </c>
    </row>
    <row r="501" spans="1:34" ht="15.5" x14ac:dyDescent="0.35">
      <c r="A501" s="45" t="s">
        <v>29</v>
      </c>
      <c r="B501" s="45">
        <v>2021</v>
      </c>
      <c r="C501" s="45" t="s">
        <v>43</v>
      </c>
      <c r="D501" s="45" t="s">
        <v>142</v>
      </c>
      <c r="E501" s="55"/>
      <c r="F501" s="55"/>
      <c r="G501" s="55">
        <v>2500</v>
      </c>
      <c r="H501" s="55"/>
      <c r="I501" s="55"/>
      <c r="J501" s="55"/>
      <c r="K501" s="55"/>
      <c r="L501" s="55">
        <v>208</v>
      </c>
      <c r="M501" s="55"/>
      <c r="N501" s="55"/>
      <c r="O501" s="55"/>
      <c r="P501" s="55"/>
      <c r="Q501" s="55"/>
      <c r="R501" s="56"/>
      <c r="S501" s="55"/>
      <c r="T501" s="55"/>
      <c r="U501" s="55"/>
      <c r="V501" s="55"/>
      <c r="W501" s="55"/>
      <c r="X501" s="55"/>
      <c r="Y501" s="55">
        <f t="shared" si="70"/>
        <v>0</v>
      </c>
      <c r="Z501">
        <f t="shared" si="71"/>
        <v>2500</v>
      </c>
      <c r="AA501">
        <f t="shared" si="72"/>
        <v>0</v>
      </c>
      <c r="AB501">
        <f t="shared" si="73"/>
        <v>208</v>
      </c>
      <c r="AC501">
        <f t="shared" si="74"/>
        <v>0</v>
      </c>
      <c r="AD501">
        <f t="shared" si="75"/>
        <v>0</v>
      </c>
      <c r="AE501">
        <f t="shared" si="76"/>
        <v>0</v>
      </c>
      <c r="AF501">
        <f t="shared" si="77"/>
        <v>0</v>
      </c>
      <c r="AG501">
        <f t="shared" si="78"/>
        <v>0</v>
      </c>
      <c r="AH501">
        <f t="shared" si="79"/>
        <v>0</v>
      </c>
    </row>
    <row r="502" spans="1:34" ht="15.5" x14ac:dyDescent="0.35">
      <c r="A502" s="45" t="s">
        <v>29</v>
      </c>
      <c r="B502" s="45">
        <v>2021</v>
      </c>
      <c r="C502" s="45" t="s">
        <v>65</v>
      </c>
      <c r="D502" s="45" t="s">
        <v>44</v>
      </c>
      <c r="E502" s="55"/>
      <c r="F502" s="55">
        <v>500</v>
      </c>
      <c r="G502" s="55"/>
      <c r="H502" s="55"/>
      <c r="I502" s="55"/>
      <c r="J502" s="55"/>
      <c r="K502" s="55"/>
      <c r="L502" s="55"/>
      <c r="M502" s="55">
        <v>510</v>
      </c>
      <c r="N502" s="55"/>
      <c r="O502" s="55"/>
      <c r="P502" s="55"/>
      <c r="Q502" s="55"/>
      <c r="R502" s="56"/>
      <c r="S502" s="55"/>
      <c r="T502" s="55"/>
      <c r="U502" s="55"/>
      <c r="V502" s="55"/>
      <c r="W502" s="55"/>
      <c r="X502" s="55"/>
      <c r="Y502" s="55">
        <f t="shared" si="70"/>
        <v>500</v>
      </c>
      <c r="Z502">
        <f t="shared" si="71"/>
        <v>0</v>
      </c>
      <c r="AA502">
        <f t="shared" si="72"/>
        <v>0</v>
      </c>
      <c r="AB502">
        <f t="shared" si="73"/>
        <v>0</v>
      </c>
      <c r="AC502">
        <f t="shared" si="74"/>
        <v>510</v>
      </c>
      <c r="AD502">
        <f t="shared" si="75"/>
        <v>0</v>
      </c>
      <c r="AE502">
        <f t="shared" si="76"/>
        <v>0</v>
      </c>
      <c r="AF502">
        <f t="shared" si="77"/>
        <v>0</v>
      </c>
      <c r="AG502">
        <f t="shared" si="78"/>
        <v>0</v>
      </c>
      <c r="AH502">
        <f t="shared" si="79"/>
        <v>0</v>
      </c>
    </row>
    <row r="503" spans="1:34" ht="15.5" x14ac:dyDescent="0.35">
      <c r="A503" s="45" t="s">
        <v>29</v>
      </c>
      <c r="B503" s="45">
        <v>2021</v>
      </c>
      <c r="C503" s="45" t="s">
        <v>65</v>
      </c>
      <c r="D503" s="45" t="s">
        <v>45</v>
      </c>
      <c r="E503" s="55">
        <v>1000</v>
      </c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6"/>
      <c r="U503" s="55"/>
      <c r="V503" s="55"/>
      <c r="W503" s="55">
        <v>2000</v>
      </c>
      <c r="X503" s="55"/>
      <c r="Y503" s="55">
        <f t="shared" si="70"/>
        <v>1000</v>
      </c>
      <c r="Z503">
        <f t="shared" si="71"/>
        <v>0</v>
      </c>
      <c r="AA503">
        <f t="shared" si="72"/>
        <v>0</v>
      </c>
      <c r="AB503">
        <f t="shared" si="73"/>
        <v>0</v>
      </c>
      <c r="AC503">
        <f t="shared" si="74"/>
        <v>0</v>
      </c>
      <c r="AD503">
        <f t="shared" si="75"/>
        <v>0</v>
      </c>
      <c r="AE503">
        <f t="shared" si="76"/>
        <v>0</v>
      </c>
      <c r="AF503">
        <f t="shared" si="77"/>
        <v>0</v>
      </c>
      <c r="AG503">
        <f t="shared" si="78"/>
        <v>0</v>
      </c>
      <c r="AH503">
        <f t="shared" si="79"/>
        <v>2000</v>
      </c>
    </row>
    <row r="504" spans="1:34" ht="15.5" x14ac:dyDescent="0.35">
      <c r="A504" s="45" t="s">
        <v>29</v>
      </c>
      <c r="B504" s="45">
        <v>2021</v>
      </c>
      <c r="C504" s="45" t="s">
        <v>43</v>
      </c>
      <c r="D504" s="45" t="s">
        <v>46</v>
      </c>
      <c r="E504" s="55"/>
      <c r="F504" s="55"/>
      <c r="G504" s="55"/>
      <c r="H504" s="55"/>
      <c r="I504" s="55"/>
      <c r="J504" s="55">
        <v>500</v>
      </c>
      <c r="K504" s="55"/>
      <c r="L504" s="55"/>
      <c r="M504" s="55"/>
      <c r="N504" s="55"/>
      <c r="O504" s="55"/>
      <c r="P504" s="55"/>
      <c r="Q504" s="55"/>
      <c r="R504" s="56"/>
      <c r="S504" s="55"/>
      <c r="T504" s="55"/>
      <c r="U504" s="55"/>
      <c r="V504" s="55"/>
      <c r="W504" s="55"/>
      <c r="X504" s="55"/>
      <c r="Y504" s="55">
        <f t="shared" si="70"/>
        <v>0</v>
      </c>
      <c r="Z504">
        <f t="shared" si="71"/>
        <v>0</v>
      </c>
      <c r="AA504">
        <f t="shared" si="72"/>
        <v>500</v>
      </c>
      <c r="AB504">
        <f t="shared" si="73"/>
        <v>0</v>
      </c>
      <c r="AC504">
        <f t="shared" si="74"/>
        <v>0</v>
      </c>
      <c r="AD504">
        <f t="shared" si="75"/>
        <v>0</v>
      </c>
      <c r="AE504">
        <f t="shared" si="76"/>
        <v>0</v>
      </c>
      <c r="AF504">
        <f t="shared" si="77"/>
        <v>0</v>
      </c>
      <c r="AG504">
        <f t="shared" si="78"/>
        <v>0</v>
      </c>
      <c r="AH504">
        <f t="shared" si="79"/>
        <v>0</v>
      </c>
    </row>
    <row r="505" spans="1:34" x14ac:dyDescent="0.35">
      <c r="A505" s="45" t="s">
        <v>29</v>
      </c>
      <c r="B505" s="45">
        <v>2021</v>
      </c>
      <c r="C505" s="45" t="s">
        <v>43</v>
      </c>
      <c r="D505" s="45" t="s">
        <v>46</v>
      </c>
      <c r="E505" s="55"/>
      <c r="F505" s="55"/>
      <c r="G505" s="55"/>
      <c r="H505" s="55"/>
      <c r="I505" s="55"/>
      <c r="J505" s="55"/>
      <c r="K505" s="55"/>
      <c r="L505" s="55"/>
      <c r="M505" s="55"/>
      <c r="N505" s="55"/>
      <c r="O505" s="55"/>
      <c r="P505" s="55"/>
      <c r="Q505" s="55"/>
      <c r="R505" s="55"/>
      <c r="S505" s="55"/>
      <c r="T505" s="55"/>
      <c r="U505" s="55"/>
      <c r="V505" s="55"/>
      <c r="W505" s="55"/>
      <c r="X505" s="55"/>
      <c r="Y505" s="55">
        <f t="shared" si="70"/>
        <v>0</v>
      </c>
      <c r="Z505">
        <f t="shared" si="71"/>
        <v>0</v>
      </c>
      <c r="AA505">
        <f t="shared" si="72"/>
        <v>0</v>
      </c>
      <c r="AB505">
        <f t="shared" si="73"/>
        <v>0</v>
      </c>
      <c r="AC505">
        <f t="shared" si="74"/>
        <v>0</v>
      </c>
      <c r="AD505">
        <f t="shared" si="75"/>
        <v>0</v>
      </c>
      <c r="AE505">
        <f t="shared" si="76"/>
        <v>0</v>
      </c>
      <c r="AF505">
        <f t="shared" si="77"/>
        <v>0</v>
      </c>
      <c r="AG505">
        <f t="shared" si="78"/>
        <v>0</v>
      </c>
      <c r="AH505">
        <f t="shared" si="79"/>
        <v>0</v>
      </c>
    </row>
    <row r="506" spans="1:34" ht="15.5" x14ac:dyDescent="0.35">
      <c r="A506" s="45" t="s">
        <v>29</v>
      </c>
      <c r="B506" s="45">
        <v>2021</v>
      </c>
      <c r="C506" s="45" t="s">
        <v>65</v>
      </c>
      <c r="D506" s="45" t="s">
        <v>139</v>
      </c>
      <c r="E506" s="55"/>
      <c r="F506" s="56">
        <v>34575</v>
      </c>
      <c r="G506" s="55"/>
      <c r="H506" s="55"/>
      <c r="I506" s="55"/>
      <c r="J506" s="55"/>
      <c r="K506" s="55"/>
      <c r="L506" s="55"/>
      <c r="M506" s="55"/>
      <c r="N506" s="59"/>
      <c r="O506" s="55"/>
      <c r="P506" s="55"/>
      <c r="Q506" s="55"/>
      <c r="R506" s="55"/>
      <c r="S506" s="55"/>
      <c r="T506" s="55"/>
      <c r="U506" s="55"/>
      <c r="V506" s="55"/>
      <c r="W506" s="55"/>
      <c r="X506" s="55"/>
      <c r="Y506" s="55">
        <f t="shared" si="70"/>
        <v>34575</v>
      </c>
      <c r="Z506">
        <f t="shared" si="71"/>
        <v>0</v>
      </c>
      <c r="AA506">
        <f t="shared" si="72"/>
        <v>0</v>
      </c>
      <c r="AB506">
        <f t="shared" si="73"/>
        <v>0</v>
      </c>
      <c r="AC506">
        <f t="shared" si="74"/>
        <v>0</v>
      </c>
      <c r="AD506">
        <f t="shared" si="75"/>
        <v>0</v>
      </c>
      <c r="AE506">
        <f t="shared" si="76"/>
        <v>0</v>
      </c>
      <c r="AF506">
        <f t="shared" si="77"/>
        <v>0</v>
      </c>
      <c r="AG506">
        <f t="shared" si="78"/>
        <v>0</v>
      </c>
      <c r="AH506">
        <f t="shared" si="79"/>
        <v>0</v>
      </c>
    </row>
    <row r="507" spans="1:34" ht="15.5" x14ac:dyDescent="0.35">
      <c r="A507" s="45" t="s">
        <v>29</v>
      </c>
      <c r="B507" s="45">
        <v>2021</v>
      </c>
      <c r="C507" s="45" t="s">
        <v>65</v>
      </c>
      <c r="D507" s="45" t="s">
        <v>44</v>
      </c>
      <c r="E507" s="55"/>
      <c r="F507" s="55"/>
      <c r="G507" s="55"/>
      <c r="H507" s="55"/>
      <c r="I507" s="55"/>
      <c r="J507" s="55"/>
      <c r="K507" s="55"/>
      <c r="L507" s="55"/>
      <c r="M507" s="55"/>
      <c r="N507" s="59"/>
      <c r="O507" s="55"/>
      <c r="P507" s="55"/>
      <c r="Q507" s="55"/>
      <c r="R507" s="55">
        <v>100</v>
      </c>
      <c r="S507" s="55"/>
      <c r="T507" s="55"/>
      <c r="U507" s="55"/>
      <c r="V507" s="55"/>
      <c r="W507" s="55"/>
      <c r="X507" s="55"/>
      <c r="Y507" s="55">
        <f t="shared" si="70"/>
        <v>0</v>
      </c>
      <c r="Z507">
        <f t="shared" si="71"/>
        <v>0</v>
      </c>
      <c r="AA507">
        <f t="shared" si="72"/>
        <v>0</v>
      </c>
      <c r="AB507">
        <f t="shared" si="73"/>
        <v>0</v>
      </c>
      <c r="AC507">
        <f t="shared" si="74"/>
        <v>0</v>
      </c>
      <c r="AD507">
        <f t="shared" si="75"/>
        <v>0</v>
      </c>
      <c r="AE507">
        <f t="shared" si="76"/>
        <v>100</v>
      </c>
      <c r="AF507">
        <f t="shared" si="77"/>
        <v>0</v>
      </c>
      <c r="AG507">
        <f t="shared" si="78"/>
        <v>0</v>
      </c>
      <c r="AH507">
        <f t="shared" si="79"/>
        <v>0</v>
      </c>
    </row>
    <row r="508" spans="1:34" ht="15.5" x14ac:dyDescent="0.35">
      <c r="A508" s="45" t="s">
        <v>29</v>
      </c>
      <c r="B508" s="45">
        <v>2017</v>
      </c>
      <c r="C508" s="45" t="s">
        <v>43</v>
      </c>
      <c r="D508" s="45" t="s">
        <v>69</v>
      </c>
      <c r="E508" s="55">
        <v>500</v>
      </c>
      <c r="F508" s="55"/>
      <c r="G508" s="55"/>
      <c r="H508" s="55"/>
      <c r="I508" s="55"/>
      <c r="J508" s="55"/>
      <c r="K508" s="55">
        <v>1500</v>
      </c>
      <c r="L508" s="55"/>
      <c r="M508" s="55"/>
      <c r="N508" s="55">
        <v>2000</v>
      </c>
      <c r="O508" s="55"/>
      <c r="P508" s="55"/>
      <c r="Q508" s="55">
        <v>300</v>
      </c>
      <c r="R508" s="56"/>
      <c r="S508" s="55"/>
      <c r="T508" s="55"/>
      <c r="U508" s="55"/>
      <c r="V508" s="55">
        <v>300</v>
      </c>
      <c r="W508" s="55"/>
      <c r="X508" s="55"/>
      <c r="Y508" s="55">
        <f t="shared" si="70"/>
        <v>500</v>
      </c>
      <c r="Z508">
        <f t="shared" si="71"/>
        <v>0</v>
      </c>
      <c r="AA508">
        <f t="shared" si="72"/>
        <v>0</v>
      </c>
      <c r="AB508">
        <f t="shared" si="73"/>
        <v>1500</v>
      </c>
      <c r="AC508">
        <f t="shared" si="74"/>
        <v>2000</v>
      </c>
      <c r="AD508">
        <f t="shared" si="75"/>
        <v>0</v>
      </c>
      <c r="AE508">
        <f t="shared" si="76"/>
        <v>300</v>
      </c>
      <c r="AF508">
        <f t="shared" si="77"/>
        <v>0</v>
      </c>
      <c r="AG508">
        <f t="shared" si="78"/>
        <v>300</v>
      </c>
      <c r="AH508">
        <f t="shared" si="79"/>
        <v>0</v>
      </c>
    </row>
    <row r="509" spans="1:34" ht="15.5" x14ac:dyDescent="0.35">
      <c r="A509" s="45" t="s">
        <v>29</v>
      </c>
      <c r="B509" s="45">
        <v>2017</v>
      </c>
      <c r="C509" s="45" t="s">
        <v>43</v>
      </c>
      <c r="D509" s="45" t="s">
        <v>140</v>
      </c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6">
        <v>3000</v>
      </c>
      <c r="U509" s="55"/>
      <c r="V509" s="55"/>
      <c r="W509" s="55"/>
      <c r="X509" s="55"/>
      <c r="Y509" s="55">
        <f t="shared" si="70"/>
        <v>0</v>
      </c>
      <c r="Z509">
        <f t="shared" si="71"/>
        <v>0</v>
      </c>
      <c r="AA509">
        <f t="shared" si="72"/>
        <v>0</v>
      </c>
      <c r="AB509">
        <f t="shared" si="73"/>
        <v>0</v>
      </c>
      <c r="AC509">
        <f t="shared" si="74"/>
        <v>0</v>
      </c>
      <c r="AD509">
        <f t="shared" si="75"/>
        <v>0</v>
      </c>
      <c r="AE509">
        <f t="shared" si="76"/>
        <v>0</v>
      </c>
      <c r="AF509">
        <f t="shared" si="77"/>
        <v>3000</v>
      </c>
      <c r="AG509">
        <f t="shared" si="78"/>
        <v>0</v>
      </c>
      <c r="AH509">
        <f t="shared" si="79"/>
        <v>0</v>
      </c>
    </row>
    <row r="510" spans="1:34" ht="15.5" x14ac:dyDescent="0.35">
      <c r="A510" s="45" t="s">
        <v>29</v>
      </c>
      <c r="B510" s="45">
        <v>2017</v>
      </c>
      <c r="C510" s="45" t="s">
        <v>65</v>
      </c>
      <c r="D510" s="45" t="s">
        <v>143</v>
      </c>
      <c r="E510" s="55"/>
      <c r="F510" s="56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>
        <v>2000</v>
      </c>
      <c r="U510" s="55">
        <v>1500</v>
      </c>
      <c r="V510" s="55"/>
      <c r="W510" s="55">
        <v>300</v>
      </c>
      <c r="X510" s="55"/>
      <c r="Y510" s="55">
        <f t="shared" si="70"/>
        <v>0</v>
      </c>
      <c r="Z510">
        <f t="shared" si="71"/>
        <v>0</v>
      </c>
      <c r="AA510">
        <f t="shared" si="72"/>
        <v>0</v>
      </c>
      <c r="AB510">
        <f t="shared" si="73"/>
        <v>0</v>
      </c>
      <c r="AC510">
        <f t="shared" si="74"/>
        <v>0</v>
      </c>
      <c r="AD510">
        <f t="shared" si="75"/>
        <v>0</v>
      </c>
      <c r="AE510">
        <f t="shared" si="76"/>
        <v>0</v>
      </c>
      <c r="AF510">
        <f t="shared" si="77"/>
        <v>2000</v>
      </c>
      <c r="AG510">
        <f t="shared" si="78"/>
        <v>1500</v>
      </c>
      <c r="AH510">
        <f t="shared" si="79"/>
        <v>300</v>
      </c>
    </row>
    <row r="511" spans="1:34" ht="15.5" x14ac:dyDescent="0.35">
      <c r="A511" s="45" t="s">
        <v>29</v>
      </c>
      <c r="B511" s="45">
        <v>2017</v>
      </c>
      <c r="C511" s="45" t="s">
        <v>65</v>
      </c>
      <c r="D511" s="45" t="s">
        <v>54</v>
      </c>
      <c r="E511" s="55"/>
      <c r="F511" s="55"/>
      <c r="G511" s="55"/>
      <c r="H511" s="55"/>
      <c r="I511" s="55"/>
      <c r="J511" s="55">
        <v>300</v>
      </c>
      <c r="K511" s="55"/>
      <c r="L511" s="55"/>
      <c r="M511" s="55"/>
      <c r="N511" s="59"/>
      <c r="O511" s="56">
        <v>8175</v>
      </c>
      <c r="P511" s="55"/>
      <c r="Q511" s="55"/>
      <c r="R511" s="55"/>
      <c r="S511" s="55">
        <v>1500</v>
      </c>
      <c r="T511" s="55"/>
      <c r="U511" s="55"/>
      <c r="V511" s="55">
        <v>2000</v>
      </c>
      <c r="W511" s="55"/>
      <c r="X511" s="55"/>
      <c r="Y511" s="55">
        <f t="shared" si="70"/>
        <v>0</v>
      </c>
      <c r="Z511">
        <f t="shared" si="71"/>
        <v>0</v>
      </c>
      <c r="AA511">
        <f t="shared" si="72"/>
        <v>300</v>
      </c>
      <c r="AB511">
        <f t="shared" si="73"/>
        <v>0</v>
      </c>
      <c r="AC511">
        <f t="shared" si="74"/>
        <v>0</v>
      </c>
      <c r="AD511">
        <f t="shared" si="75"/>
        <v>8175</v>
      </c>
      <c r="AE511">
        <f t="shared" si="76"/>
        <v>0</v>
      </c>
      <c r="AF511">
        <f t="shared" si="77"/>
        <v>1500</v>
      </c>
      <c r="AG511">
        <f t="shared" si="78"/>
        <v>2000</v>
      </c>
      <c r="AH511">
        <f t="shared" si="79"/>
        <v>0</v>
      </c>
    </row>
    <row r="512" spans="1:34" ht="15.5" x14ac:dyDescent="0.35">
      <c r="A512" s="45" t="s">
        <v>29</v>
      </c>
      <c r="B512" s="45">
        <v>2016</v>
      </c>
      <c r="C512" s="45" t="s">
        <v>43</v>
      </c>
      <c r="D512" s="45" t="s">
        <v>142</v>
      </c>
      <c r="E512" s="55"/>
      <c r="F512" s="57"/>
      <c r="G512" s="55"/>
      <c r="H512" s="55"/>
      <c r="I512" s="55">
        <v>2500</v>
      </c>
      <c r="J512" s="55"/>
      <c r="K512" s="55"/>
      <c r="L512" s="55"/>
      <c r="M512" s="55"/>
      <c r="N512" s="59"/>
      <c r="O512" s="55"/>
      <c r="P512" s="55"/>
      <c r="Q512" s="55"/>
      <c r="R512" s="55"/>
      <c r="S512" s="55"/>
      <c r="T512" s="55"/>
      <c r="U512" s="55"/>
      <c r="V512" s="55"/>
      <c r="W512" s="55"/>
      <c r="X512" s="55"/>
      <c r="Y512" s="55">
        <f t="shared" si="70"/>
        <v>0</v>
      </c>
      <c r="Z512">
        <f t="shared" si="71"/>
        <v>0</v>
      </c>
      <c r="AA512">
        <f t="shared" si="72"/>
        <v>2500</v>
      </c>
      <c r="AB512">
        <f t="shared" si="73"/>
        <v>0</v>
      </c>
      <c r="AC512">
        <f t="shared" si="74"/>
        <v>0</v>
      </c>
      <c r="AD512">
        <f t="shared" si="75"/>
        <v>0</v>
      </c>
      <c r="AE512">
        <f t="shared" si="76"/>
        <v>0</v>
      </c>
      <c r="AF512">
        <f t="shared" si="77"/>
        <v>0</v>
      </c>
      <c r="AG512">
        <f t="shared" si="78"/>
        <v>0</v>
      </c>
      <c r="AH512">
        <f t="shared" si="79"/>
        <v>0</v>
      </c>
    </row>
    <row r="513" spans="1:34" ht="15.5" x14ac:dyDescent="0.35">
      <c r="A513" s="45" t="s">
        <v>29</v>
      </c>
      <c r="B513" s="45">
        <v>2016</v>
      </c>
      <c r="C513" s="45" t="s">
        <v>43</v>
      </c>
      <c r="D513" s="45" t="s">
        <v>44</v>
      </c>
      <c r="E513" s="55">
        <v>10000</v>
      </c>
      <c r="F513" s="55"/>
      <c r="G513" s="55"/>
      <c r="H513" s="55">
        <v>500</v>
      </c>
      <c r="I513" s="55"/>
      <c r="J513" s="55"/>
      <c r="K513" s="55">
        <v>12000</v>
      </c>
      <c r="L513" s="58"/>
      <c r="M513" s="55">
        <v>10000</v>
      </c>
      <c r="N513" s="55"/>
      <c r="O513" s="55"/>
      <c r="P513" s="55">
        <v>600</v>
      </c>
      <c r="Q513" s="55"/>
      <c r="R513" s="55"/>
      <c r="S513" s="55"/>
      <c r="T513" s="55"/>
      <c r="U513" s="55"/>
      <c r="V513" s="55"/>
      <c r="W513" s="55"/>
      <c r="X513" s="55">
        <v>1000</v>
      </c>
      <c r="Y513" s="55">
        <f t="shared" si="70"/>
        <v>10000</v>
      </c>
      <c r="Z513">
        <f t="shared" si="71"/>
        <v>500</v>
      </c>
      <c r="AA513">
        <f t="shared" si="72"/>
        <v>0</v>
      </c>
      <c r="AB513">
        <f t="shared" si="73"/>
        <v>12000</v>
      </c>
      <c r="AC513">
        <f t="shared" si="74"/>
        <v>10000</v>
      </c>
      <c r="AD513">
        <f t="shared" si="75"/>
        <v>600</v>
      </c>
      <c r="AE513">
        <f t="shared" si="76"/>
        <v>0</v>
      </c>
      <c r="AF513">
        <f t="shared" si="77"/>
        <v>0</v>
      </c>
      <c r="AG513">
        <f t="shared" si="78"/>
        <v>0</v>
      </c>
      <c r="AH513">
        <f t="shared" si="79"/>
        <v>1000</v>
      </c>
    </row>
    <row r="514" spans="1:34" ht="15.5" x14ac:dyDescent="0.35">
      <c r="A514" s="45" t="s">
        <v>29</v>
      </c>
      <c r="B514" s="45">
        <v>2016</v>
      </c>
      <c r="C514" s="45" t="s">
        <v>65</v>
      </c>
      <c r="D514" s="45" t="s">
        <v>45</v>
      </c>
      <c r="E514" s="55"/>
      <c r="F514" s="59"/>
      <c r="G514" s="55">
        <v>1000</v>
      </c>
      <c r="H514" s="55"/>
      <c r="I514" s="55"/>
      <c r="J514" s="55"/>
      <c r="K514" s="55"/>
      <c r="L514" s="55">
        <v>200</v>
      </c>
      <c r="M514" s="55"/>
      <c r="N514" s="59"/>
      <c r="O514" s="55"/>
      <c r="P514" s="55"/>
      <c r="Q514" s="55"/>
      <c r="R514" s="55"/>
      <c r="S514" s="55"/>
      <c r="T514" s="55"/>
      <c r="U514" s="55"/>
      <c r="V514" s="55"/>
      <c r="W514" s="55">
        <v>700</v>
      </c>
      <c r="X514" s="55"/>
      <c r="Y514" s="55">
        <f t="shared" si="70"/>
        <v>0</v>
      </c>
      <c r="Z514">
        <f t="shared" si="71"/>
        <v>1000</v>
      </c>
      <c r="AA514">
        <f t="shared" si="72"/>
        <v>0</v>
      </c>
      <c r="AB514">
        <f t="shared" si="73"/>
        <v>200</v>
      </c>
      <c r="AC514">
        <f t="shared" si="74"/>
        <v>0</v>
      </c>
      <c r="AD514">
        <f t="shared" si="75"/>
        <v>0</v>
      </c>
      <c r="AE514">
        <f t="shared" si="76"/>
        <v>0</v>
      </c>
      <c r="AF514">
        <f t="shared" si="77"/>
        <v>0</v>
      </c>
      <c r="AG514">
        <f t="shared" si="78"/>
        <v>0</v>
      </c>
      <c r="AH514">
        <f t="shared" si="79"/>
        <v>700</v>
      </c>
    </row>
    <row r="515" spans="1:34" ht="15.5" x14ac:dyDescent="0.35">
      <c r="A515" s="45" t="s">
        <v>29</v>
      </c>
      <c r="B515" s="45">
        <v>2016</v>
      </c>
      <c r="C515" s="45" t="s">
        <v>65</v>
      </c>
      <c r="D515" s="45" t="s">
        <v>46</v>
      </c>
      <c r="E515" s="55"/>
      <c r="F515" s="55">
        <v>50</v>
      </c>
      <c r="G515" s="55"/>
      <c r="H515" s="55"/>
      <c r="I515" s="55"/>
      <c r="J515" s="55"/>
      <c r="K515" s="55"/>
      <c r="L515" s="59"/>
      <c r="M515" s="55"/>
      <c r="N515" s="59"/>
      <c r="O515" s="55"/>
      <c r="P515" s="55"/>
      <c r="Q515" s="55">
        <v>208</v>
      </c>
      <c r="R515" s="55"/>
      <c r="S515" s="55"/>
      <c r="T515" s="55"/>
      <c r="U515" s="55"/>
      <c r="V515" s="55"/>
      <c r="W515" s="55"/>
      <c r="X515" s="55"/>
      <c r="Y515" s="55">
        <f t="shared" si="70"/>
        <v>50</v>
      </c>
      <c r="Z515">
        <f t="shared" si="71"/>
        <v>0</v>
      </c>
      <c r="AA515">
        <f t="shared" si="72"/>
        <v>0</v>
      </c>
      <c r="AB515">
        <f t="shared" si="73"/>
        <v>0</v>
      </c>
      <c r="AC515">
        <f t="shared" si="74"/>
        <v>0</v>
      </c>
      <c r="AD515">
        <f t="shared" si="75"/>
        <v>0</v>
      </c>
      <c r="AE515">
        <f t="shared" si="76"/>
        <v>208</v>
      </c>
      <c r="AF515">
        <f t="shared" si="77"/>
        <v>0</v>
      </c>
      <c r="AG515">
        <f t="shared" si="78"/>
        <v>0</v>
      </c>
      <c r="AH515">
        <f t="shared" si="79"/>
        <v>0</v>
      </c>
    </row>
    <row r="516" spans="1:34" ht="15.5" x14ac:dyDescent="0.35">
      <c r="A516" s="45" t="s">
        <v>29</v>
      </c>
      <c r="B516" s="45">
        <v>2016</v>
      </c>
      <c r="C516" s="45" t="s">
        <v>43</v>
      </c>
      <c r="D516" s="45" t="s">
        <v>46</v>
      </c>
      <c r="E516" s="55"/>
      <c r="F516" s="59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>
        <v>510</v>
      </c>
      <c r="S516" s="55"/>
      <c r="T516" s="55"/>
      <c r="U516" s="55"/>
      <c r="V516" s="55"/>
      <c r="W516" s="55"/>
      <c r="X516" s="55">
        <v>88</v>
      </c>
      <c r="Y516" s="55">
        <f t="shared" si="70"/>
        <v>0</v>
      </c>
      <c r="Z516">
        <f t="shared" si="71"/>
        <v>0</v>
      </c>
      <c r="AA516">
        <f t="shared" si="72"/>
        <v>0</v>
      </c>
      <c r="AB516">
        <f t="shared" si="73"/>
        <v>0</v>
      </c>
      <c r="AC516">
        <f t="shared" si="74"/>
        <v>0</v>
      </c>
      <c r="AD516">
        <f t="shared" si="75"/>
        <v>0</v>
      </c>
      <c r="AE516">
        <f t="shared" si="76"/>
        <v>510</v>
      </c>
      <c r="AF516">
        <f t="shared" si="77"/>
        <v>0</v>
      </c>
      <c r="AG516">
        <f t="shared" si="78"/>
        <v>0</v>
      </c>
      <c r="AH516">
        <f t="shared" si="79"/>
        <v>88</v>
      </c>
    </row>
    <row r="517" spans="1:34" ht="15.5" x14ac:dyDescent="0.35">
      <c r="A517" s="45" t="s">
        <v>29</v>
      </c>
      <c r="B517" s="45">
        <v>2022</v>
      </c>
      <c r="C517" s="45" t="s">
        <v>43</v>
      </c>
      <c r="D517" s="45" t="s">
        <v>139</v>
      </c>
      <c r="E517" s="55"/>
      <c r="F517" s="59"/>
      <c r="G517" s="55"/>
      <c r="H517" s="55"/>
      <c r="I517" s="55"/>
      <c r="J517" s="55"/>
      <c r="K517" s="55"/>
      <c r="L517" s="55"/>
      <c r="M517" s="55"/>
      <c r="N517" s="59"/>
      <c r="O517" s="55"/>
      <c r="P517" s="55"/>
      <c r="Q517" s="55"/>
      <c r="R517" s="55"/>
      <c r="S517" s="55"/>
      <c r="T517" s="55"/>
      <c r="U517" s="55">
        <v>200</v>
      </c>
      <c r="V517" s="55"/>
      <c r="W517" s="55"/>
      <c r="X517" s="55"/>
      <c r="Y517" s="55">
        <f t="shared" ref="Y517:Y579" si="80">SUM(E517:F517)</f>
        <v>0</v>
      </c>
      <c r="Z517">
        <f t="shared" ref="Z517:Z579" si="81">SUM(G517:H517)</f>
        <v>0</v>
      </c>
      <c r="AA517">
        <f t="shared" ref="AA517:AA579" si="82">SUM(I517:J517)</f>
        <v>0</v>
      </c>
      <c r="AB517">
        <f t="shared" ref="AB517:AB579" si="83">SUM(K517:L517)</f>
        <v>0</v>
      </c>
      <c r="AC517">
        <f t="shared" ref="AC517:AC579" si="84">SUM(M517:N517)</f>
        <v>0</v>
      </c>
      <c r="AD517">
        <f t="shared" ref="AD517:AD579" si="85">SUM(O517:P517)</f>
        <v>0</v>
      </c>
      <c r="AE517">
        <f t="shared" ref="AE517:AE579" si="86">SUM(Q517:R517)</f>
        <v>0</v>
      </c>
      <c r="AF517">
        <f t="shared" ref="AF517:AF579" si="87">SUM(S517:T517)</f>
        <v>0</v>
      </c>
      <c r="AG517">
        <f t="shared" ref="AG517:AG579" si="88">SUM(U517:V517)</f>
        <v>200</v>
      </c>
      <c r="AH517">
        <f t="shared" ref="AH517:AH579" si="89">SUM(W517:X517)</f>
        <v>0</v>
      </c>
    </row>
    <row r="518" spans="1:34" ht="15.5" x14ac:dyDescent="0.35">
      <c r="A518" s="45" t="s">
        <v>29</v>
      </c>
      <c r="B518" s="45">
        <v>2022</v>
      </c>
      <c r="C518" s="45" t="s">
        <v>65</v>
      </c>
      <c r="D518" s="45" t="s">
        <v>44</v>
      </c>
      <c r="E518" s="55"/>
      <c r="F518" s="55"/>
      <c r="G518" s="55"/>
      <c r="H518" s="55"/>
      <c r="I518" s="55"/>
      <c r="J518" s="55"/>
      <c r="K518" s="55"/>
      <c r="L518" s="55"/>
      <c r="M518" s="55"/>
      <c r="N518" s="59"/>
      <c r="O518" s="55">
        <v>500</v>
      </c>
      <c r="P518" s="55"/>
      <c r="Q518" s="55"/>
      <c r="R518" s="55"/>
      <c r="S518" s="55"/>
      <c r="T518" s="55"/>
      <c r="U518" s="55"/>
      <c r="V518" s="55">
        <v>60</v>
      </c>
      <c r="W518" s="55"/>
      <c r="X518" s="55"/>
      <c r="Y518" s="55">
        <f t="shared" si="80"/>
        <v>0</v>
      </c>
      <c r="Z518">
        <f t="shared" si="81"/>
        <v>0</v>
      </c>
      <c r="AA518">
        <f t="shared" si="82"/>
        <v>0</v>
      </c>
      <c r="AB518">
        <f t="shared" si="83"/>
        <v>0</v>
      </c>
      <c r="AC518">
        <f t="shared" si="84"/>
        <v>0</v>
      </c>
      <c r="AD518">
        <f t="shared" si="85"/>
        <v>500</v>
      </c>
      <c r="AE518">
        <f t="shared" si="86"/>
        <v>0</v>
      </c>
      <c r="AF518">
        <f t="shared" si="87"/>
        <v>0</v>
      </c>
      <c r="AG518">
        <f t="shared" si="88"/>
        <v>60</v>
      </c>
      <c r="AH518">
        <f t="shared" si="89"/>
        <v>0</v>
      </c>
    </row>
    <row r="519" spans="1:34" x14ac:dyDescent="0.35">
      <c r="A519" s="45" t="s">
        <v>29</v>
      </c>
      <c r="B519" s="45">
        <v>2022</v>
      </c>
      <c r="C519" s="45" t="s">
        <v>65</v>
      </c>
      <c r="D519" s="45" t="s">
        <v>69</v>
      </c>
      <c r="E519" s="55"/>
      <c r="F519" s="55"/>
      <c r="G519" s="55"/>
      <c r="H519" s="55"/>
      <c r="I519" s="55">
        <v>500</v>
      </c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>
        <f t="shared" si="80"/>
        <v>0</v>
      </c>
      <c r="Z519">
        <f t="shared" si="81"/>
        <v>0</v>
      </c>
      <c r="AA519">
        <f t="shared" si="82"/>
        <v>500</v>
      </c>
      <c r="AB519">
        <f t="shared" si="83"/>
        <v>0</v>
      </c>
      <c r="AC519">
        <f t="shared" si="84"/>
        <v>0</v>
      </c>
      <c r="AD519">
        <f t="shared" si="85"/>
        <v>0</v>
      </c>
      <c r="AE519">
        <f t="shared" si="86"/>
        <v>0</v>
      </c>
      <c r="AF519">
        <f t="shared" si="87"/>
        <v>0</v>
      </c>
      <c r="AG519">
        <f t="shared" si="88"/>
        <v>0</v>
      </c>
      <c r="AH519">
        <f t="shared" si="89"/>
        <v>0</v>
      </c>
    </row>
    <row r="520" spans="1:34" ht="15.5" x14ac:dyDescent="0.35">
      <c r="A520" s="45" t="s">
        <v>29</v>
      </c>
      <c r="B520" s="45">
        <v>2022</v>
      </c>
      <c r="C520" s="45" t="s">
        <v>43</v>
      </c>
      <c r="D520" s="45" t="s">
        <v>140</v>
      </c>
      <c r="E520" s="55"/>
      <c r="F520" s="55">
        <v>110</v>
      </c>
      <c r="G520" s="55"/>
      <c r="H520" s="55"/>
      <c r="I520" s="55">
        <v>300</v>
      </c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6">
        <v>24981.781999999999</v>
      </c>
      <c r="U520" s="55"/>
      <c r="V520" s="55"/>
      <c r="W520" s="55"/>
      <c r="X520" s="55"/>
      <c r="Y520" s="55">
        <f t="shared" si="80"/>
        <v>110</v>
      </c>
      <c r="Z520">
        <f t="shared" si="81"/>
        <v>0</v>
      </c>
      <c r="AA520">
        <f t="shared" si="82"/>
        <v>300</v>
      </c>
      <c r="AB520">
        <f t="shared" si="83"/>
        <v>0</v>
      </c>
      <c r="AC520">
        <f t="shared" si="84"/>
        <v>0</v>
      </c>
      <c r="AD520">
        <f t="shared" si="85"/>
        <v>0</v>
      </c>
      <c r="AE520">
        <f t="shared" si="86"/>
        <v>0</v>
      </c>
      <c r="AF520">
        <f t="shared" si="87"/>
        <v>24981.781999999999</v>
      </c>
      <c r="AG520">
        <f t="shared" si="88"/>
        <v>0</v>
      </c>
      <c r="AH520">
        <f t="shared" si="89"/>
        <v>0</v>
      </c>
    </row>
    <row r="521" spans="1:34" x14ac:dyDescent="0.35">
      <c r="A521" s="45" t="s">
        <v>29</v>
      </c>
      <c r="B521" s="45">
        <v>2022</v>
      </c>
      <c r="C521" s="45" t="s">
        <v>43</v>
      </c>
      <c r="D521" s="45" t="s">
        <v>143</v>
      </c>
      <c r="E521" s="55"/>
      <c r="F521" s="55"/>
      <c r="G521" s="55"/>
      <c r="H521" s="55"/>
      <c r="I521" s="55"/>
      <c r="J521" s="55"/>
      <c r="K521" s="55">
        <v>2000</v>
      </c>
      <c r="L521" s="55">
        <v>1500</v>
      </c>
      <c r="M521" s="55"/>
      <c r="N521" s="55">
        <v>300</v>
      </c>
      <c r="O521" s="55"/>
      <c r="P521" s="55"/>
      <c r="Q521" s="55"/>
      <c r="R521" s="55"/>
      <c r="S521" s="55"/>
      <c r="T521" s="55"/>
      <c r="U521" s="55"/>
      <c r="V521" s="55"/>
      <c r="W521" s="55"/>
      <c r="X521" s="55"/>
      <c r="Y521" s="55">
        <f t="shared" si="80"/>
        <v>0</v>
      </c>
      <c r="Z521">
        <f t="shared" si="81"/>
        <v>0</v>
      </c>
      <c r="AA521">
        <f t="shared" si="82"/>
        <v>0</v>
      </c>
      <c r="AB521">
        <f t="shared" si="83"/>
        <v>3500</v>
      </c>
      <c r="AC521">
        <f t="shared" si="84"/>
        <v>300</v>
      </c>
      <c r="AD521">
        <f t="shared" si="85"/>
        <v>0</v>
      </c>
      <c r="AE521">
        <f t="shared" si="86"/>
        <v>0</v>
      </c>
      <c r="AF521">
        <f t="shared" si="87"/>
        <v>0</v>
      </c>
      <c r="AG521">
        <f t="shared" si="88"/>
        <v>0</v>
      </c>
      <c r="AH521">
        <f t="shared" si="89"/>
        <v>0</v>
      </c>
    </row>
    <row r="522" spans="1:34" ht="15.5" x14ac:dyDescent="0.35">
      <c r="A522" s="45" t="s">
        <v>29</v>
      </c>
      <c r="B522" s="45">
        <v>2022</v>
      </c>
      <c r="C522" s="45" t="s">
        <v>65</v>
      </c>
      <c r="D522" s="45" t="s">
        <v>54</v>
      </c>
      <c r="E522" s="55"/>
      <c r="F522" s="55"/>
      <c r="G522" s="55"/>
      <c r="H522" s="55"/>
      <c r="I522" s="55"/>
      <c r="J522" s="55"/>
      <c r="K522" s="55"/>
      <c r="L522" s="55"/>
      <c r="M522" s="55"/>
      <c r="N522" s="56">
        <v>3000</v>
      </c>
      <c r="O522" s="55"/>
      <c r="P522" s="55"/>
      <c r="Q522" s="55"/>
      <c r="R522" s="55"/>
      <c r="S522" s="55"/>
      <c r="T522" s="55"/>
      <c r="U522" s="55"/>
      <c r="V522" s="55"/>
      <c r="W522" s="55"/>
      <c r="X522" s="55"/>
      <c r="Y522" s="55">
        <f t="shared" si="80"/>
        <v>0</v>
      </c>
      <c r="Z522">
        <f t="shared" si="81"/>
        <v>0</v>
      </c>
      <c r="AA522">
        <f t="shared" si="82"/>
        <v>0</v>
      </c>
      <c r="AB522">
        <f t="shared" si="83"/>
        <v>0</v>
      </c>
      <c r="AC522">
        <f t="shared" si="84"/>
        <v>3000</v>
      </c>
      <c r="AD522">
        <f t="shared" si="85"/>
        <v>0</v>
      </c>
      <c r="AE522">
        <f t="shared" si="86"/>
        <v>0</v>
      </c>
      <c r="AF522">
        <f t="shared" si="87"/>
        <v>0</v>
      </c>
      <c r="AG522">
        <f t="shared" si="88"/>
        <v>0</v>
      </c>
      <c r="AH522">
        <f t="shared" si="89"/>
        <v>0</v>
      </c>
    </row>
    <row r="523" spans="1:34" x14ac:dyDescent="0.35">
      <c r="A523" s="45" t="s">
        <v>30</v>
      </c>
      <c r="B523" s="45">
        <v>2016</v>
      </c>
      <c r="C523" s="45" t="s">
        <v>65</v>
      </c>
      <c r="D523" s="45" t="s">
        <v>142</v>
      </c>
      <c r="E523" s="55"/>
      <c r="F523" s="55"/>
      <c r="G523" s="55"/>
      <c r="H523" s="55"/>
      <c r="I523" s="55"/>
      <c r="J523" s="55"/>
      <c r="K523" s="55"/>
      <c r="L523" s="55"/>
      <c r="M523" s="55"/>
      <c r="N523" s="55">
        <v>2000</v>
      </c>
      <c r="O523" s="55">
        <v>1500</v>
      </c>
      <c r="P523" s="55"/>
      <c r="Q523" s="55">
        <v>300</v>
      </c>
      <c r="R523" s="55"/>
      <c r="S523" s="55">
        <v>500</v>
      </c>
      <c r="T523" s="55"/>
      <c r="U523" s="55"/>
      <c r="V523" s="55"/>
      <c r="W523" s="55"/>
      <c r="X523" s="55"/>
      <c r="Y523" s="55">
        <f t="shared" si="80"/>
        <v>0</v>
      </c>
      <c r="Z523">
        <f t="shared" si="81"/>
        <v>0</v>
      </c>
      <c r="AA523">
        <f t="shared" si="82"/>
        <v>0</v>
      </c>
      <c r="AB523">
        <f t="shared" si="83"/>
        <v>0</v>
      </c>
      <c r="AC523">
        <f t="shared" si="84"/>
        <v>2000</v>
      </c>
      <c r="AD523">
        <f t="shared" si="85"/>
        <v>1500</v>
      </c>
      <c r="AE523">
        <f t="shared" si="86"/>
        <v>300</v>
      </c>
      <c r="AF523">
        <f t="shared" si="87"/>
        <v>500</v>
      </c>
      <c r="AG523">
        <f t="shared" si="88"/>
        <v>0</v>
      </c>
      <c r="AH523">
        <f t="shared" si="89"/>
        <v>0</v>
      </c>
    </row>
    <row r="524" spans="1:34" ht="15.5" x14ac:dyDescent="0.35">
      <c r="A524" s="45" t="s">
        <v>30</v>
      </c>
      <c r="B524" s="45">
        <v>2016</v>
      </c>
      <c r="C524" s="45" t="s">
        <v>43</v>
      </c>
      <c r="D524" s="45" t="s">
        <v>44</v>
      </c>
      <c r="E524" s="55">
        <v>300</v>
      </c>
      <c r="F524" s="55"/>
      <c r="G524" s="55">
        <v>500</v>
      </c>
      <c r="H524" s="55"/>
      <c r="I524" s="55"/>
      <c r="J524" s="55"/>
      <c r="K524" s="55"/>
      <c r="L524" s="55"/>
      <c r="M524" s="55">
        <v>1500</v>
      </c>
      <c r="N524" s="55"/>
      <c r="O524" s="55"/>
      <c r="P524" s="55">
        <v>2000</v>
      </c>
      <c r="Q524" s="55"/>
      <c r="R524" s="55"/>
      <c r="S524" s="55">
        <v>300</v>
      </c>
      <c r="T524" s="56"/>
      <c r="U524" s="55"/>
      <c r="V524" s="55"/>
      <c r="W524" s="55"/>
      <c r="X524" s="55">
        <v>300</v>
      </c>
      <c r="Y524" s="55">
        <f t="shared" si="80"/>
        <v>300</v>
      </c>
      <c r="Z524">
        <f t="shared" si="81"/>
        <v>500</v>
      </c>
      <c r="AA524">
        <f t="shared" si="82"/>
        <v>0</v>
      </c>
      <c r="AB524">
        <f t="shared" si="83"/>
        <v>0</v>
      </c>
      <c r="AC524">
        <f t="shared" si="84"/>
        <v>1500</v>
      </c>
      <c r="AD524">
        <f t="shared" si="85"/>
        <v>2000</v>
      </c>
      <c r="AE524">
        <f t="shared" si="86"/>
        <v>0</v>
      </c>
      <c r="AF524">
        <f t="shared" si="87"/>
        <v>300</v>
      </c>
      <c r="AG524">
        <f t="shared" si="88"/>
        <v>0</v>
      </c>
      <c r="AH524">
        <f t="shared" si="89"/>
        <v>300</v>
      </c>
    </row>
    <row r="525" spans="1:34" ht="15.5" x14ac:dyDescent="0.35">
      <c r="A525" s="45" t="s">
        <v>30</v>
      </c>
      <c r="B525" s="45">
        <v>2916</v>
      </c>
      <c r="C525" s="45" t="s">
        <v>43</v>
      </c>
      <c r="D525" s="45" t="s">
        <v>45</v>
      </c>
      <c r="E525" s="55"/>
      <c r="F525" s="55"/>
      <c r="G525" s="55">
        <v>300</v>
      </c>
      <c r="H525" s="56"/>
      <c r="I525" s="55"/>
      <c r="J525" s="55"/>
      <c r="K525" s="55"/>
      <c r="L525" s="55">
        <v>300</v>
      </c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55">
        <v>2500</v>
      </c>
      <c r="X525" s="55"/>
      <c r="Y525" s="55">
        <f t="shared" si="80"/>
        <v>0</v>
      </c>
      <c r="Z525">
        <f t="shared" si="81"/>
        <v>300</v>
      </c>
      <c r="AA525">
        <f t="shared" si="82"/>
        <v>0</v>
      </c>
      <c r="AB525">
        <f t="shared" si="83"/>
        <v>300</v>
      </c>
      <c r="AC525">
        <f t="shared" si="84"/>
        <v>0</v>
      </c>
      <c r="AD525">
        <f t="shared" si="85"/>
        <v>0</v>
      </c>
      <c r="AE525">
        <f t="shared" si="86"/>
        <v>0</v>
      </c>
      <c r="AF525">
        <f t="shared" si="87"/>
        <v>0</v>
      </c>
      <c r="AG525">
        <f t="shared" si="88"/>
        <v>0</v>
      </c>
      <c r="AH525">
        <f t="shared" si="89"/>
        <v>2500</v>
      </c>
    </row>
    <row r="526" spans="1:34" ht="15.5" x14ac:dyDescent="0.35">
      <c r="A526" s="45" t="s">
        <v>30</v>
      </c>
      <c r="B526" s="45">
        <v>2016</v>
      </c>
      <c r="C526" s="45" t="s">
        <v>65</v>
      </c>
      <c r="D526" s="45" t="s">
        <v>46</v>
      </c>
      <c r="E526" s="55"/>
      <c r="F526" s="55"/>
      <c r="G526" s="55"/>
      <c r="H526" s="55"/>
      <c r="I526" s="55"/>
      <c r="J526" s="55"/>
      <c r="K526" s="55">
        <v>2500</v>
      </c>
      <c r="L526" s="55"/>
      <c r="M526" s="55"/>
      <c r="N526" s="55"/>
      <c r="O526" s="55"/>
      <c r="P526" s="55"/>
      <c r="Q526" s="55"/>
      <c r="R526" s="55">
        <v>1000</v>
      </c>
      <c r="S526" s="55">
        <v>12000</v>
      </c>
      <c r="T526" s="58"/>
      <c r="U526" s="55"/>
      <c r="V526" s="55">
        <v>500</v>
      </c>
      <c r="W526" s="55"/>
      <c r="X526" s="55"/>
      <c r="Y526" s="55">
        <f t="shared" si="80"/>
        <v>0</v>
      </c>
      <c r="Z526">
        <f t="shared" si="81"/>
        <v>0</v>
      </c>
      <c r="AA526">
        <f t="shared" si="82"/>
        <v>0</v>
      </c>
      <c r="AB526">
        <f t="shared" si="83"/>
        <v>2500</v>
      </c>
      <c r="AC526">
        <f t="shared" si="84"/>
        <v>0</v>
      </c>
      <c r="AD526">
        <f t="shared" si="85"/>
        <v>0</v>
      </c>
      <c r="AE526">
        <f t="shared" si="86"/>
        <v>1000</v>
      </c>
      <c r="AF526">
        <f t="shared" si="87"/>
        <v>12000</v>
      </c>
      <c r="AG526">
        <f t="shared" si="88"/>
        <v>500</v>
      </c>
      <c r="AH526">
        <f t="shared" si="89"/>
        <v>0</v>
      </c>
    </row>
    <row r="527" spans="1:34" ht="15.5" x14ac:dyDescent="0.35">
      <c r="A527" s="45" t="s">
        <v>30</v>
      </c>
      <c r="B527" s="45">
        <v>2017</v>
      </c>
      <c r="C527" s="45" t="s">
        <v>65</v>
      </c>
      <c r="D527" s="45" t="s">
        <v>46</v>
      </c>
      <c r="E527" s="55"/>
      <c r="F527" s="55">
        <v>1000</v>
      </c>
      <c r="G527" s="55">
        <v>12000</v>
      </c>
      <c r="H527" s="58"/>
      <c r="I527" s="55"/>
      <c r="J527" s="55">
        <v>500</v>
      </c>
      <c r="K527" s="55"/>
      <c r="L527" s="55"/>
      <c r="M527" s="55"/>
      <c r="N527" s="55"/>
      <c r="O527" s="55"/>
      <c r="P527" s="55"/>
      <c r="Q527" s="55">
        <v>700</v>
      </c>
      <c r="R527" s="55"/>
      <c r="S527" s="55"/>
      <c r="T527" s="55">
        <v>200</v>
      </c>
      <c r="U527" s="55">
        <v>1000</v>
      </c>
      <c r="V527" s="55"/>
      <c r="W527" s="55"/>
      <c r="X527" s="55"/>
      <c r="Y527" s="55">
        <f t="shared" si="80"/>
        <v>1000</v>
      </c>
      <c r="Z527">
        <f t="shared" si="81"/>
        <v>12000</v>
      </c>
      <c r="AA527">
        <f t="shared" si="82"/>
        <v>500</v>
      </c>
      <c r="AB527">
        <f t="shared" si="83"/>
        <v>0</v>
      </c>
      <c r="AC527">
        <f t="shared" si="84"/>
        <v>0</v>
      </c>
      <c r="AD527">
        <f t="shared" si="85"/>
        <v>0</v>
      </c>
      <c r="AE527">
        <f t="shared" si="86"/>
        <v>700</v>
      </c>
      <c r="AF527">
        <f t="shared" si="87"/>
        <v>200</v>
      </c>
      <c r="AG527">
        <f t="shared" si="88"/>
        <v>1000</v>
      </c>
      <c r="AH527">
        <f t="shared" si="89"/>
        <v>0</v>
      </c>
    </row>
    <row r="528" spans="1:34" ht="15.5" x14ac:dyDescent="0.35">
      <c r="A528" s="45" t="s">
        <v>30</v>
      </c>
      <c r="B528" s="45">
        <v>2017</v>
      </c>
      <c r="C528" s="45" t="s">
        <v>43</v>
      </c>
      <c r="D528" s="45" t="s">
        <v>139</v>
      </c>
      <c r="E528" s="55">
        <v>700</v>
      </c>
      <c r="F528" s="55"/>
      <c r="G528" s="55"/>
      <c r="H528" s="55">
        <v>200</v>
      </c>
      <c r="I528" s="55">
        <v>1000</v>
      </c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9"/>
      <c r="U528" s="55"/>
      <c r="V528" s="55"/>
      <c r="W528" s="55"/>
      <c r="X528" s="55"/>
      <c r="Y528" s="55">
        <f t="shared" si="80"/>
        <v>700</v>
      </c>
      <c r="Z528">
        <f t="shared" si="81"/>
        <v>200</v>
      </c>
      <c r="AA528">
        <f t="shared" si="82"/>
        <v>1000</v>
      </c>
      <c r="AB528">
        <f t="shared" si="83"/>
        <v>0</v>
      </c>
      <c r="AC528">
        <f t="shared" si="84"/>
        <v>0</v>
      </c>
      <c r="AD528">
        <f t="shared" si="85"/>
        <v>0</v>
      </c>
      <c r="AE528">
        <f t="shared" si="86"/>
        <v>0</v>
      </c>
      <c r="AF528">
        <f t="shared" si="87"/>
        <v>0</v>
      </c>
      <c r="AG528">
        <f t="shared" si="88"/>
        <v>0</v>
      </c>
      <c r="AH528">
        <f t="shared" si="89"/>
        <v>0</v>
      </c>
    </row>
    <row r="529" spans="1:34" ht="15.5" x14ac:dyDescent="0.35">
      <c r="A529" s="45" t="s">
        <v>30</v>
      </c>
      <c r="B529" s="45">
        <v>2017</v>
      </c>
      <c r="C529" s="45" t="s">
        <v>43</v>
      </c>
      <c r="D529" s="45" t="s">
        <v>44</v>
      </c>
      <c r="E529" s="55"/>
      <c r="F529" s="55"/>
      <c r="G529" s="55"/>
      <c r="H529" s="59"/>
      <c r="I529" s="55"/>
      <c r="J529" s="55"/>
      <c r="K529" s="55"/>
      <c r="L529" s="55"/>
      <c r="M529" s="55"/>
      <c r="N529" s="56">
        <v>34575</v>
      </c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>
        <f t="shared" si="80"/>
        <v>0</v>
      </c>
      <c r="Z529">
        <f t="shared" si="81"/>
        <v>0</v>
      </c>
      <c r="AA529">
        <f t="shared" si="82"/>
        <v>0</v>
      </c>
      <c r="AB529">
        <f t="shared" si="83"/>
        <v>0</v>
      </c>
      <c r="AC529">
        <f t="shared" si="84"/>
        <v>34575</v>
      </c>
      <c r="AD529">
        <f t="shared" si="85"/>
        <v>0</v>
      </c>
      <c r="AE529">
        <f t="shared" si="86"/>
        <v>0</v>
      </c>
      <c r="AF529">
        <f t="shared" si="87"/>
        <v>0</v>
      </c>
      <c r="AG529">
        <f t="shared" si="88"/>
        <v>0</v>
      </c>
      <c r="AH529">
        <f t="shared" si="89"/>
        <v>0</v>
      </c>
    </row>
    <row r="530" spans="1:34" ht="15.5" x14ac:dyDescent="0.35">
      <c r="A530" s="45" t="s">
        <v>30</v>
      </c>
      <c r="B530" s="45">
        <v>2018</v>
      </c>
      <c r="C530" s="45" t="s">
        <v>65</v>
      </c>
      <c r="D530" s="45" t="s">
        <v>69</v>
      </c>
      <c r="E530" s="55"/>
      <c r="F530" s="55"/>
      <c r="G530" s="55"/>
      <c r="H530" s="55"/>
      <c r="I530" s="55"/>
      <c r="J530" s="55"/>
      <c r="K530" s="55"/>
      <c r="L530" s="55"/>
      <c r="M530" s="55"/>
      <c r="N530" s="55">
        <v>50</v>
      </c>
      <c r="O530" s="55"/>
      <c r="P530" s="55"/>
      <c r="Q530" s="55"/>
      <c r="R530" s="55"/>
      <c r="S530" s="55"/>
      <c r="T530" s="56"/>
      <c r="U530" s="55"/>
      <c r="V530" s="55"/>
      <c r="W530" s="55"/>
      <c r="X530" s="55">
        <v>300</v>
      </c>
      <c r="Y530" s="55">
        <f t="shared" si="80"/>
        <v>0</v>
      </c>
      <c r="Z530">
        <f t="shared" si="81"/>
        <v>0</v>
      </c>
      <c r="AA530">
        <f t="shared" si="82"/>
        <v>0</v>
      </c>
      <c r="AB530">
        <f t="shared" si="83"/>
        <v>0</v>
      </c>
      <c r="AC530">
        <f t="shared" si="84"/>
        <v>50</v>
      </c>
      <c r="AD530">
        <f t="shared" si="85"/>
        <v>0</v>
      </c>
      <c r="AE530">
        <f t="shared" si="86"/>
        <v>0</v>
      </c>
      <c r="AF530">
        <f t="shared" si="87"/>
        <v>0</v>
      </c>
      <c r="AG530">
        <f t="shared" si="88"/>
        <v>0</v>
      </c>
      <c r="AH530">
        <f t="shared" si="89"/>
        <v>300</v>
      </c>
    </row>
    <row r="531" spans="1:34" ht="15.5" x14ac:dyDescent="0.35">
      <c r="A531" s="45" t="s">
        <v>30</v>
      </c>
      <c r="B531" s="45">
        <v>2018</v>
      </c>
      <c r="C531" s="45" t="s">
        <v>65</v>
      </c>
      <c r="D531" s="45" t="s">
        <v>140</v>
      </c>
      <c r="E531" s="55"/>
      <c r="F531" s="55"/>
      <c r="G531" s="55">
        <v>10000</v>
      </c>
      <c r="H531" s="55"/>
      <c r="I531" s="55"/>
      <c r="J531" s="55"/>
      <c r="K531" s="55"/>
      <c r="L531" s="55"/>
      <c r="M531" s="55"/>
      <c r="N531" s="55"/>
      <c r="O531" s="56"/>
      <c r="P531" s="55"/>
      <c r="Q531" s="55"/>
      <c r="R531" s="55"/>
      <c r="S531" s="55"/>
      <c r="T531" s="55"/>
      <c r="U531" s="55"/>
      <c r="V531" s="55"/>
      <c r="W531" s="55">
        <v>2500</v>
      </c>
      <c r="X531" s="55"/>
      <c r="Y531" s="55">
        <f t="shared" si="80"/>
        <v>0</v>
      </c>
      <c r="Z531">
        <f t="shared" si="81"/>
        <v>10000</v>
      </c>
      <c r="AA531">
        <f t="shared" si="82"/>
        <v>0</v>
      </c>
      <c r="AB531">
        <f t="shared" si="83"/>
        <v>0</v>
      </c>
      <c r="AC531">
        <f t="shared" si="84"/>
        <v>0</v>
      </c>
      <c r="AD531">
        <f t="shared" si="85"/>
        <v>0</v>
      </c>
      <c r="AE531">
        <f t="shared" si="86"/>
        <v>0</v>
      </c>
      <c r="AF531">
        <f t="shared" si="87"/>
        <v>0</v>
      </c>
      <c r="AG531">
        <f t="shared" si="88"/>
        <v>0</v>
      </c>
      <c r="AH531">
        <f t="shared" si="89"/>
        <v>2500</v>
      </c>
    </row>
    <row r="532" spans="1:34" ht="15.5" x14ac:dyDescent="0.35">
      <c r="A532" s="45" t="s">
        <v>30</v>
      </c>
      <c r="B532" s="45">
        <v>2018</v>
      </c>
      <c r="C532" s="45" t="s">
        <v>43</v>
      </c>
      <c r="D532" s="45" t="s">
        <v>143</v>
      </c>
      <c r="E532" s="55"/>
      <c r="F532" s="57"/>
      <c r="G532" s="55"/>
      <c r="H532" s="59"/>
      <c r="I532" s="55"/>
      <c r="J532" s="55"/>
      <c r="K532" s="55"/>
      <c r="L532" s="60"/>
      <c r="M532" s="55"/>
      <c r="N532" s="55"/>
      <c r="O532" s="55"/>
      <c r="P532" s="55"/>
      <c r="Q532" s="55"/>
      <c r="R532" s="55"/>
      <c r="S532" s="55">
        <v>300</v>
      </c>
      <c r="T532" s="58"/>
      <c r="U532" s="55"/>
      <c r="V532" s="55">
        <v>500</v>
      </c>
      <c r="W532" s="55"/>
      <c r="X532" s="55"/>
      <c r="Y532" s="55">
        <f t="shared" si="80"/>
        <v>0</v>
      </c>
      <c r="Z532">
        <f t="shared" si="81"/>
        <v>0</v>
      </c>
      <c r="AA532">
        <f t="shared" si="82"/>
        <v>0</v>
      </c>
      <c r="AB532">
        <f t="shared" si="83"/>
        <v>0</v>
      </c>
      <c r="AC532">
        <f t="shared" si="84"/>
        <v>0</v>
      </c>
      <c r="AD532">
        <f t="shared" si="85"/>
        <v>0</v>
      </c>
      <c r="AE532">
        <f t="shared" si="86"/>
        <v>0</v>
      </c>
      <c r="AF532">
        <f t="shared" si="87"/>
        <v>300</v>
      </c>
      <c r="AG532">
        <f t="shared" si="88"/>
        <v>500</v>
      </c>
      <c r="AH532">
        <f t="shared" si="89"/>
        <v>0</v>
      </c>
    </row>
    <row r="533" spans="1:34" ht="15.5" x14ac:dyDescent="0.35">
      <c r="A533" s="45" t="s">
        <v>30</v>
      </c>
      <c r="B533" s="45">
        <v>2018</v>
      </c>
      <c r="C533" s="45" t="s">
        <v>43</v>
      </c>
      <c r="D533" s="45" t="s">
        <v>54</v>
      </c>
      <c r="E533" s="55"/>
      <c r="F533" s="55"/>
      <c r="G533" s="55"/>
      <c r="H533" s="55">
        <v>1000</v>
      </c>
      <c r="I533" s="56"/>
      <c r="J533" s="55"/>
      <c r="K533" s="55"/>
      <c r="L533" s="55"/>
      <c r="M533" s="55"/>
      <c r="N533" s="55"/>
      <c r="O533" s="57"/>
      <c r="P533" s="55"/>
      <c r="Q533" s="55"/>
      <c r="R533" s="55">
        <v>2500</v>
      </c>
      <c r="S533" s="55"/>
      <c r="T533" s="55">
        <v>200</v>
      </c>
      <c r="U533" s="55">
        <v>1000</v>
      </c>
      <c r="V533" s="55"/>
      <c r="W533" s="55"/>
      <c r="X533" s="55"/>
      <c r="Y533" s="55">
        <f t="shared" si="80"/>
        <v>0</v>
      </c>
      <c r="Z533">
        <f t="shared" si="81"/>
        <v>1000</v>
      </c>
      <c r="AA533">
        <f t="shared" si="82"/>
        <v>0</v>
      </c>
      <c r="AB533">
        <f t="shared" si="83"/>
        <v>0</v>
      </c>
      <c r="AC533">
        <f t="shared" si="84"/>
        <v>0</v>
      </c>
      <c r="AD533">
        <f t="shared" si="85"/>
        <v>0</v>
      </c>
      <c r="AE533">
        <f t="shared" si="86"/>
        <v>2500</v>
      </c>
      <c r="AF533">
        <f t="shared" si="87"/>
        <v>200</v>
      </c>
      <c r="AG533">
        <f t="shared" si="88"/>
        <v>1000</v>
      </c>
      <c r="AH533">
        <f t="shared" si="89"/>
        <v>0</v>
      </c>
    </row>
    <row r="534" spans="1:34" x14ac:dyDescent="0.35">
      <c r="A534" s="45" t="s">
        <v>30</v>
      </c>
      <c r="B534" s="45">
        <v>2018</v>
      </c>
      <c r="C534" s="45" t="s">
        <v>65</v>
      </c>
      <c r="D534" s="45" t="s">
        <v>142</v>
      </c>
      <c r="E534" s="55"/>
      <c r="F534" s="55"/>
      <c r="G534" s="55">
        <v>500</v>
      </c>
      <c r="H534" s="55"/>
      <c r="I534" s="55"/>
      <c r="J534" s="55"/>
      <c r="K534" s="55"/>
      <c r="L534" s="55"/>
      <c r="M534" s="55"/>
      <c r="N534" s="55">
        <v>10000</v>
      </c>
      <c r="O534" s="55"/>
      <c r="P534" s="55"/>
      <c r="Q534" s="55">
        <v>500</v>
      </c>
      <c r="R534" s="55"/>
      <c r="S534" s="55"/>
      <c r="T534" s="55"/>
      <c r="U534" s="55"/>
      <c r="V534" s="55"/>
      <c r="W534" s="55"/>
      <c r="X534" s="55"/>
      <c r="Y534" s="55">
        <f t="shared" si="80"/>
        <v>0</v>
      </c>
      <c r="Z534">
        <f t="shared" si="81"/>
        <v>500</v>
      </c>
      <c r="AA534">
        <f t="shared" si="82"/>
        <v>0</v>
      </c>
      <c r="AB534">
        <f t="shared" si="83"/>
        <v>0</v>
      </c>
      <c r="AC534">
        <f t="shared" si="84"/>
        <v>10000</v>
      </c>
      <c r="AD534">
        <f t="shared" si="85"/>
        <v>0</v>
      </c>
      <c r="AE534">
        <f t="shared" si="86"/>
        <v>500</v>
      </c>
      <c r="AF534">
        <f t="shared" si="87"/>
        <v>0</v>
      </c>
      <c r="AG534">
        <f t="shared" si="88"/>
        <v>0</v>
      </c>
      <c r="AH534">
        <f t="shared" si="89"/>
        <v>0</v>
      </c>
    </row>
    <row r="535" spans="1:34" ht="15.5" x14ac:dyDescent="0.35">
      <c r="A535" s="45" t="s">
        <v>30</v>
      </c>
      <c r="B535" s="45">
        <v>2019</v>
      </c>
      <c r="C535" s="45" t="s">
        <v>65</v>
      </c>
      <c r="D535" s="45" t="s">
        <v>44</v>
      </c>
      <c r="E535" s="55"/>
      <c r="F535" s="55">
        <v>2500</v>
      </c>
      <c r="G535" s="55"/>
      <c r="H535" s="55"/>
      <c r="I535" s="55">
        <v>12000</v>
      </c>
      <c r="J535" s="55"/>
      <c r="K535" s="55">
        <v>2500</v>
      </c>
      <c r="L535" s="55"/>
      <c r="M535" s="55"/>
      <c r="N535" s="55"/>
      <c r="O535" s="59"/>
      <c r="P535" s="55">
        <v>1000</v>
      </c>
      <c r="Q535" s="55"/>
      <c r="R535" s="55"/>
      <c r="S535" s="55"/>
      <c r="T535" s="55"/>
      <c r="U535" s="55"/>
      <c r="V535" s="55"/>
      <c r="W535" s="55"/>
      <c r="X535" s="55"/>
      <c r="Y535" s="55">
        <f t="shared" si="80"/>
        <v>2500</v>
      </c>
      <c r="Z535">
        <f t="shared" si="81"/>
        <v>0</v>
      </c>
      <c r="AA535">
        <f t="shared" si="82"/>
        <v>12000</v>
      </c>
      <c r="AB535">
        <f t="shared" si="83"/>
        <v>2500</v>
      </c>
      <c r="AC535">
        <f t="shared" si="84"/>
        <v>0</v>
      </c>
      <c r="AD535">
        <f t="shared" si="85"/>
        <v>1000</v>
      </c>
      <c r="AE535">
        <f t="shared" si="86"/>
        <v>0</v>
      </c>
      <c r="AF535">
        <f t="shared" si="87"/>
        <v>0</v>
      </c>
      <c r="AG535">
        <f t="shared" si="88"/>
        <v>0</v>
      </c>
      <c r="AH535">
        <f t="shared" si="89"/>
        <v>0</v>
      </c>
    </row>
    <row r="536" spans="1:34" ht="15.5" x14ac:dyDescent="0.35">
      <c r="A536" s="45" t="s">
        <v>30</v>
      </c>
      <c r="B536" s="45">
        <v>2019</v>
      </c>
      <c r="C536" s="45" t="s">
        <v>43</v>
      </c>
      <c r="D536" s="45" t="s">
        <v>45</v>
      </c>
      <c r="E536" s="55">
        <v>300</v>
      </c>
      <c r="F536" s="55"/>
      <c r="G536" s="55"/>
      <c r="H536" s="55"/>
      <c r="I536" s="55">
        <v>2500</v>
      </c>
      <c r="J536" s="55">
        <v>500</v>
      </c>
      <c r="K536" s="55"/>
      <c r="L536" s="55"/>
      <c r="M536" s="55"/>
      <c r="N536" s="55"/>
      <c r="O536" s="55">
        <v>50</v>
      </c>
      <c r="P536" s="55"/>
      <c r="Q536" s="55"/>
      <c r="R536" s="55"/>
      <c r="S536" s="55"/>
      <c r="T536" s="55"/>
      <c r="U536" s="55"/>
      <c r="V536" s="55"/>
      <c r="W536" s="55"/>
      <c r="X536" s="56"/>
      <c r="Y536" s="55">
        <f t="shared" si="80"/>
        <v>300</v>
      </c>
      <c r="Z536">
        <f t="shared" si="81"/>
        <v>0</v>
      </c>
      <c r="AA536">
        <f t="shared" si="82"/>
        <v>3000</v>
      </c>
      <c r="AB536">
        <f t="shared" si="83"/>
        <v>0</v>
      </c>
      <c r="AC536">
        <f t="shared" si="84"/>
        <v>0</v>
      </c>
      <c r="AD536">
        <f t="shared" si="85"/>
        <v>50</v>
      </c>
      <c r="AE536">
        <f t="shared" si="86"/>
        <v>0</v>
      </c>
      <c r="AF536">
        <f t="shared" si="87"/>
        <v>0</v>
      </c>
      <c r="AG536">
        <f t="shared" si="88"/>
        <v>0</v>
      </c>
      <c r="AH536">
        <f t="shared" si="89"/>
        <v>0</v>
      </c>
    </row>
    <row r="537" spans="1:34" x14ac:dyDescent="0.35">
      <c r="A537" s="45" t="s">
        <v>30</v>
      </c>
      <c r="B537" s="45">
        <v>2019</v>
      </c>
      <c r="C537" s="45" t="s">
        <v>43</v>
      </c>
      <c r="D537" s="45" t="s">
        <v>46</v>
      </c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55"/>
      <c r="X537" s="55">
        <v>150</v>
      </c>
      <c r="Y537" s="55">
        <f t="shared" si="80"/>
        <v>0</v>
      </c>
      <c r="Z537">
        <f t="shared" si="81"/>
        <v>0</v>
      </c>
      <c r="AA537">
        <f t="shared" si="82"/>
        <v>0</v>
      </c>
      <c r="AB537">
        <f t="shared" si="83"/>
        <v>0</v>
      </c>
      <c r="AC537">
        <f t="shared" si="84"/>
        <v>0</v>
      </c>
      <c r="AD537">
        <f t="shared" si="85"/>
        <v>0</v>
      </c>
      <c r="AE537">
        <f t="shared" si="86"/>
        <v>0</v>
      </c>
      <c r="AF537">
        <f t="shared" si="87"/>
        <v>0</v>
      </c>
      <c r="AG537">
        <f t="shared" si="88"/>
        <v>0</v>
      </c>
      <c r="AH537">
        <f t="shared" si="89"/>
        <v>150</v>
      </c>
    </row>
    <row r="538" spans="1:34" ht="15.5" x14ac:dyDescent="0.35">
      <c r="A538" s="45" t="s">
        <v>30</v>
      </c>
      <c r="B538" s="45">
        <v>2019</v>
      </c>
      <c r="C538" s="45" t="s">
        <v>65</v>
      </c>
      <c r="D538" s="45" t="s">
        <v>46</v>
      </c>
      <c r="E538" s="55"/>
      <c r="F538" s="55"/>
      <c r="G538" s="55">
        <v>2500</v>
      </c>
      <c r="H538" s="55"/>
      <c r="I538" s="55"/>
      <c r="J538" s="55"/>
      <c r="K538" s="55"/>
      <c r="L538" s="55"/>
      <c r="M538" s="55"/>
      <c r="N538" s="55"/>
      <c r="O538" s="59"/>
      <c r="P538" s="55"/>
      <c r="Q538" s="55"/>
      <c r="R538" s="55"/>
      <c r="S538" s="55"/>
      <c r="T538" s="55"/>
      <c r="U538" s="55"/>
      <c r="V538" s="55"/>
      <c r="W538" s="55"/>
      <c r="X538" s="55"/>
      <c r="Y538" s="55">
        <f t="shared" si="80"/>
        <v>0</v>
      </c>
      <c r="Z538">
        <f t="shared" si="81"/>
        <v>2500</v>
      </c>
      <c r="AA538">
        <f t="shared" si="82"/>
        <v>0</v>
      </c>
      <c r="AB538">
        <f t="shared" si="83"/>
        <v>0</v>
      </c>
      <c r="AC538">
        <f t="shared" si="84"/>
        <v>0</v>
      </c>
      <c r="AD538">
        <f t="shared" si="85"/>
        <v>0</v>
      </c>
      <c r="AE538">
        <f t="shared" si="86"/>
        <v>0</v>
      </c>
      <c r="AF538">
        <f t="shared" si="87"/>
        <v>0</v>
      </c>
      <c r="AG538">
        <f t="shared" si="88"/>
        <v>0</v>
      </c>
      <c r="AH538">
        <f t="shared" si="89"/>
        <v>0</v>
      </c>
    </row>
    <row r="539" spans="1:34" ht="15.5" x14ac:dyDescent="0.35">
      <c r="A539" s="45" t="s">
        <v>30</v>
      </c>
      <c r="B539" s="45">
        <v>2019</v>
      </c>
      <c r="C539" s="45" t="s">
        <v>65</v>
      </c>
      <c r="D539" s="45" t="s">
        <v>139</v>
      </c>
      <c r="E539" s="55">
        <v>700</v>
      </c>
      <c r="F539" s="55"/>
      <c r="G539" s="55"/>
      <c r="H539" s="55"/>
      <c r="I539" s="55"/>
      <c r="J539" s="55">
        <v>500</v>
      </c>
      <c r="K539" s="55"/>
      <c r="L539" s="55"/>
      <c r="M539" s="55"/>
      <c r="N539" s="55"/>
      <c r="O539" s="55"/>
      <c r="P539" s="55"/>
      <c r="Q539" s="55"/>
      <c r="R539" s="55"/>
      <c r="S539" s="55">
        <v>300</v>
      </c>
      <c r="T539" s="55"/>
      <c r="U539" s="55"/>
      <c r="V539" s="56"/>
      <c r="W539" s="55"/>
      <c r="X539" s="55"/>
      <c r="Y539" s="55">
        <f t="shared" si="80"/>
        <v>700</v>
      </c>
      <c r="Z539">
        <f t="shared" si="81"/>
        <v>0</v>
      </c>
      <c r="AA539">
        <f t="shared" si="82"/>
        <v>500</v>
      </c>
      <c r="AB539">
        <f t="shared" si="83"/>
        <v>0</v>
      </c>
      <c r="AC539">
        <f t="shared" si="84"/>
        <v>0</v>
      </c>
      <c r="AD539">
        <f t="shared" si="85"/>
        <v>0</v>
      </c>
      <c r="AE539">
        <f t="shared" si="86"/>
        <v>0</v>
      </c>
      <c r="AF539">
        <f t="shared" si="87"/>
        <v>300</v>
      </c>
      <c r="AG539">
        <f t="shared" si="88"/>
        <v>0</v>
      </c>
      <c r="AH539">
        <f t="shared" si="89"/>
        <v>0</v>
      </c>
    </row>
    <row r="540" spans="1:34" ht="15.5" x14ac:dyDescent="0.35">
      <c r="A540" s="45" t="s">
        <v>30</v>
      </c>
      <c r="B540" s="45">
        <v>2019</v>
      </c>
      <c r="C540" s="45" t="s">
        <v>43</v>
      </c>
      <c r="D540" s="45" t="s">
        <v>44</v>
      </c>
      <c r="E540" s="55"/>
      <c r="F540" s="55"/>
      <c r="G540" s="55">
        <v>88</v>
      </c>
      <c r="H540" s="55"/>
      <c r="I540" s="55"/>
      <c r="J540" s="55"/>
      <c r="K540" s="55"/>
      <c r="L540" s="55"/>
      <c r="M540" s="55"/>
      <c r="N540" s="59"/>
      <c r="O540" s="55"/>
      <c r="P540" s="55">
        <v>300</v>
      </c>
      <c r="Q540" s="55"/>
      <c r="R540" s="55">
        <v>2000</v>
      </c>
      <c r="S540" s="55"/>
      <c r="T540" s="55"/>
      <c r="U540" s="55"/>
      <c r="V540" s="55"/>
      <c r="W540" s="55"/>
      <c r="X540" s="55"/>
      <c r="Y540" s="55">
        <f t="shared" si="80"/>
        <v>0</v>
      </c>
      <c r="Z540">
        <f t="shared" si="81"/>
        <v>88</v>
      </c>
      <c r="AA540">
        <f t="shared" si="82"/>
        <v>0</v>
      </c>
      <c r="AB540">
        <f t="shared" si="83"/>
        <v>0</v>
      </c>
      <c r="AC540">
        <f t="shared" si="84"/>
        <v>0</v>
      </c>
      <c r="AD540">
        <f t="shared" si="85"/>
        <v>300</v>
      </c>
      <c r="AE540">
        <f t="shared" si="86"/>
        <v>2000</v>
      </c>
      <c r="AF540">
        <f t="shared" si="87"/>
        <v>0</v>
      </c>
      <c r="AG540">
        <f t="shared" si="88"/>
        <v>0</v>
      </c>
      <c r="AH540">
        <f t="shared" si="89"/>
        <v>0</v>
      </c>
    </row>
    <row r="541" spans="1:34" ht="15.5" x14ac:dyDescent="0.35">
      <c r="A541" s="45" t="s">
        <v>30</v>
      </c>
      <c r="B541" s="45">
        <v>2019</v>
      </c>
      <c r="C541" s="45" t="s">
        <v>43</v>
      </c>
      <c r="D541" s="45" t="s">
        <v>69</v>
      </c>
      <c r="E541" s="55"/>
      <c r="F541" s="55">
        <v>2500</v>
      </c>
      <c r="G541" s="55"/>
      <c r="H541" s="55"/>
      <c r="I541" s="55"/>
      <c r="J541" s="55"/>
      <c r="K541" s="55"/>
      <c r="L541" s="55"/>
      <c r="M541" s="55"/>
      <c r="N541" s="55"/>
      <c r="O541" s="55">
        <v>2500</v>
      </c>
      <c r="P541" s="55"/>
      <c r="Q541" s="55"/>
      <c r="R541" s="55"/>
      <c r="S541" s="55"/>
      <c r="T541" s="55"/>
      <c r="U541" s="55"/>
      <c r="V541" s="57"/>
      <c r="W541" s="55"/>
      <c r="X541" s="55"/>
      <c r="Y541" s="55">
        <f t="shared" si="80"/>
        <v>2500</v>
      </c>
      <c r="Z541">
        <f t="shared" si="81"/>
        <v>0</v>
      </c>
      <c r="AA541">
        <f t="shared" si="82"/>
        <v>0</v>
      </c>
      <c r="AB541">
        <f t="shared" si="83"/>
        <v>0</v>
      </c>
      <c r="AC541">
        <f t="shared" si="84"/>
        <v>0</v>
      </c>
      <c r="AD541">
        <f t="shared" si="85"/>
        <v>2500</v>
      </c>
      <c r="AE541">
        <f t="shared" si="86"/>
        <v>0</v>
      </c>
      <c r="AF541">
        <f t="shared" si="87"/>
        <v>0</v>
      </c>
      <c r="AG541">
        <f t="shared" si="88"/>
        <v>0</v>
      </c>
      <c r="AH541">
        <f t="shared" si="89"/>
        <v>0</v>
      </c>
    </row>
    <row r="542" spans="1:34" x14ac:dyDescent="0.35">
      <c r="A542" s="45" t="s">
        <v>30</v>
      </c>
      <c r="B542" s="45">
        <v>2019</v>
      </c>
      <c r="C542" s="45" t="s">
        <v>65</v>
      </c>
      <c r="D542" s="45" t="s">
        <v>140</v>
      </c>
      <c r="E542" s="55">
        <v>300</v>
      </c>
      <c r="F542" s="55"/>
      <c r="G542" s="55"/>
      <c r="H542" s="55"/>
      <c r="I542" s="55"/>
      <c r="J542" s="55"/>
      <c r="K542" s="55"/>
      <c r="L542" s="55"/>
      <c r="M542" s="55"/>
      <c r="N542" s="55"/>
      <c r="O542" s="55"/>
      <c r="P542" s="55"/>
      <c r="Q542" s="55"/>
      <c r="R542" s="55"/>
      <c r="S542" s="55"/>
      <c r="T542" s="55">
        <v>1000</v>
      </c>
      <c r="U542" s="55">
        <v>10000</v>
      </c>
      <c r="V542" s="55"/>
      <c r="W542" s="55"/>
      <c r="X542" s="55">
        <v>500</v>
      </c>
      <c r="Y542" s="55">
        <f t="shared" si="80"/>
        <v>300</v>
      </c>
      <c r="Z542">
        <f t="shared" si="81"/>
        <v>0</v>
      </c>
      <c r="AA542">
        <f t="shared" si="82"/>
        <v>0</v>
      </c>
      <c r="AB542">
        <f t="shared" si="83"/>
        <v>0</v>
      </c>
      <c r="AC542">
        <f t="shared" si="84"/>
        <v>0</v>
      </c>
      <c r="AD542">
        <f t="shared" si="85"/>
        <v>0</v>
      </c>
      <c r="AE542">
        <f t="shared" si="86"/>
        <v>0</v>
      </c>
      <c r="AF542">
        <f t="shared" si="87"/>
        <v>1000</v>
      </c>
      <c r="AG542">
        <f t="shared" si="88"/>
        <v>10000</v>
      </c>
      <c r="AH542">
        <f t="shared" si="89"/>
        <v>500</v>
      </c>
    </row>
    <row r="543" spans="1:34" ht="15.5" x14ac:dyDescent="0.35">
      <c r="A543" s="45" t="s">
        <v>30</v>
      </c>
      <c r="B543" s="45">
        <v>2020</v>
      </c>
      <c r="C543" s="45" t="s">
        <v>65</v>
      </c>
      <c r="D543" s="45" t="s">
        <v>143</v>
      </c>
      <c r="E543" s="55"/>
      <c r="F543" s="55"/>
      <c r="G543" s="55"/>
      <c r="H543" s="55"/>
      <c r="I543" s="55"/>
      <c r="J543" s="55"/>
      <c r="K543" s="55">
        <v>2000</v>
      </c>
      <c r="L543" s="55">
        <v>1500</v>
      </c>
      <c r="M543" s="55"/>
      <c r="N543" s="55">
        <v>300</v>
      </c>
      <c r="O543" s="55"/>
      <c r="P543" s="55"/>
      <c r="Q543" s="55"/>
      <c r="R543" s="55"/>
      <c r="S543" s="55">
        <v>700</v>
      </c>
      <c r="T543" s="55"/>
      <c r="U543" s="55"/>
      <c r="V543" s="59"/>
      <c r="W543" s="55">
        <v>1000</v>
      </c>
      <c r="X543" s="55"/>
      <c r="Y543" s="55">
        <f t="shared" si="80"/>
        <v>0</v>
      </c>
      <c r="Z543">
        <f t="shared" si="81"/>
        <v>0</v>
      </c>
      <c r="AA543">
        <f t="shared" si="82"/>
        <v>0</v>
      </c>
      <c r="AB543">
        <f t="shared" si="83"/>
        <v>3500</v>
      </c>
      <c r="AC543">
        <f t="shared" si="84"/>
        <v>300</v>
      </c>
      <c r="AD543">
        <f t="shared" si="85"/>
        <v>0</v>
      </c>
      <c r="AE543">
        <f t="shared" si="86"/>
        <v>0</v>
      </c>
      <c r="AF543">
        <f t="shared" si="87"/>
        <v>700</v>
      </c>
      <c r="AG543">
        <f t="shared" si="88"/>
        <v>0</v>
      </c>
      <c r="AH543">
        <f t="shared" si="89"/>
        <v>1000</v>
      </c>
    </row>
    <row r="544" spans="1:34" ht="15.5" x14ac:dyDescent="0.35">
      <c r="A544" s="45" t="s">
        <v>30</v>
      </c>
      <c r="B544" s="45">
        <v>2020</v>
      </c>
      <c r="C544" s="45" t="s">
        <v>43</v>
      </c>
      <c r="D544" s="45" t="s">
        <v>54</v>
      </c>
      <c r="E544" s="55"/>
      <c r="F544" s="55"/>
      <c r="G544" s="61"/>
      <c r="H544" s="55"/>
      <c r="I544" s="55"/>
      <c r="J544" s="55"/>
      <c r="K544" s="55"/>
      <c r="L544" s="55"/>
      <c r="M544" s="55"/>
      <c r="N544" s="56">
        <v>3000</v>
      </c>
      <c r="O544" s="55"/>
      <c r="P544" s="55"/>
      <c r="Q544" s="55">
        <v>1000</v>
      </c>
      <c r="R544" s="55"/>
      <c r="S544" s="55"/>
      <c r="T544" s="55"/>
      <c r="U544" s="55"/>
      <c r="V544" s="55">
        <v>50</v>
      </c>
      <c r="W544" s="55"/>
      <c r="X544" s="55"/>
      <c r="Y544" s="55">
        <f t="shared" si="80"/>
        <v>0</v>
      </c>
      <c r="Z544">
        <f t="shared" si="81"/>
        <v>0</v>
      </c>
      <c r="AA544">
        <f t="shared" si="82"/>
        <v>0</v>
      </c>
      <c r="AB544">
        <f t="shared" si="83"/>
        <v>0</v>
      </c>
      <c r="AC544">
        <f t="shared" si="84"/>
        <v>3000</v>
      </c>
      <c r="AD544">
        <f t="shared" si="85"/>
        <v>0</v>
      </c>
      <c r="AE544">
        <f t="shared" si="86"/>
        <v>1000</v>
      </c>
      <c r="AF544">
        <f t="shared" si="87"/>
        <v>0</v>
      </c>
      <c r="AG544">
        <f t="shared" si="88"/>
        <v>50</v>
      </c>
      <c r="AH544">
        <f t="shared" si="89"/>
        <v>0</v>
      </c>
    </row>
    <row r="545" spans="1:34" ht="15.5" x14ac:dyDescent="0.35">
      <c r="A545" s="45" t="s">
        <v>30</v>
      </c>
      <c r="B545" s="45">
        <v>2020</v>
      </c>
      <c r="C545" s="45" t="s">
        <v>43</v>
      </c>
      <c r="D545" s="45" t="s">
        <v>142</v>
      </c>
      <c r="E545" s="55"/>
      <c r="F545" s="55"/>
      <c r="G545" s="55"/>
      <c r="H545" s="55"/>
      <c r="I545" s="55"/>
      <c r="J545" s="55"/>
      <c r="K545" s="55"/>
      <c r="L545" s="55"/>
      <c r="M545" s="55"/>
      <c r="N545" s="55">
        <v>2000</v>
      </c>
      <c r="O545" s="55"/>
      <c r="P545" s="55"/>
      <c r="Q545" s="55"/>
      <c r="R545" s="55"/>
      <c r="S545" s="55"/>
      <c r="T545" s="55"/>
      <c r="U545" s="55"/>
      <c r="V545" s="55"/>
      <c r="W545" s="56"/>
      <c r="X545" s="55"/>
      <c r="Y545" s="55">
        <f t="shared" si="80"/>
        <v>0</v>
      </c>
      <c r="Z545">
        <f t="shared" si="81"/>
        <v>0</v>
      </c>
      <c r="AA545">
        <f t="shared" si="82"/>
        <v>0</v>
      </c>
      <c r="AB545">
        <f t="shared" si="83"/>
        <v>0</v>
      </c>
      <c r="AC545">
        <f t="shared" si="84"/>
        <v>2000</v>
      </c>
      <c r="AD545">
        <f t="shared" si="85"/>
        <v>0</v>
      </c>
      <c r="AE545">
        <f t="shared" si="86"/>
        <v>0</v>
      </c>
      <c r="AF545">
        <f t="shared" si="87"/>
        <v>0</v>
      </c>
      <c r="AG545">
        <f t="shared" si="88"/>
        <v>0</v>
      </c>
      <c r="AH545">
        <f t="shared" si="89"/>
        <v>0</v>
      </c>
    </row>
    <row r="546" spans="1:34" ht="15.5" x14ac:dyDescent="0.35">
      <c r="A546" s="45" t="s">
        <v>30</v>
      </c>
      <c r="B546" s="45">
        <v>2020</v>
      </c>
      <c r="C546" s="45" t="s">
        <v>65</v>
      </c>
      <c r="D546" s="45" t="s">
        <v>44</v>
      </c>
      <c r="E546" s="55">
        <v>88</v>
      </c>
      <c r="F546" s="55"/>
      <c r="G546" s="55"/>
      <c r="H546" s="61"/>
      <c r="I546" s="55"/>
      <c r="J546" s="55"/>
      <c r="K546" s="55"/>
      <c r="L546" s="55"/>
      <c r="M546" s="55">
        <v>1500</v>
      </c>
      <c r="N546" s="55"/>
      <c r="O546" s="55"/>
      <c r="P546" s="55"/>
      <c r="Q546" s="55"/>
      <c r="R546" s="55"/>
      <c r="S546" s="55"/>
      <c r="T546" s="60"/>
      <c r="U546" s="55"/>
      <c r="V546" s="55"/>
      <c r="W546" s="55"/>
      <c r="X546" s="55"/>
      <c r="Y546" s="55">
        <f t="shared" si="80"/>
        <v>88</v>
      </c>
      <c r="Z546">
        <f t="shared" si="81"/>
        <v>0</v>
      </c>
      <c r="AA546">
        <f t="shared" si="82"/>
        <v>0</v>
      </c>
      <c r="AB546">
        <f t="shared" si="83"/>
        <v>0</v>
      </c>
      <c r="AC546">
        <f t="shared" si="84"/>
        <v>1500</v>
      </c>
      <c r="AD546">
        <f t="shared" si="85"/>
        <v>0</v>
      </c>
      <c r="AE546">
        <f t="shared" si="86"/>
        <v>0</v>
      </c>
      <c r="AF546">
        <f t="shared" si="87"/>
        <v>0</v>
      </c>
      <c r="AG546">
        <f t="shared" si="88"/>
        <v>0</v>
      </c>
      <c r="AH546">
        <f t="shared" si="89"/>
        <v>0</v>
      </c>
    </row>
    <row r="547" spans="1:34" ht="15.5" x14ac:dyDescent="0.35">
      <c r="A547" s="45" t="s">
        <v>30</v>
      </c>
      <c r="B547" s="45">
        <v>2020</v>
      </c>
      <c r="C547" s="45" t="s">
        <v>65</v>
      </c>
      <c r="D547" s="45" t="s">
        <v>45</v>
      </c>
      <c r="E547" s="55"/>
      <c r="F547" s="55"/>
      <c r="G547" s="55"/>
      <c r="H547" s="55"/>
      <c r="I547" s="55"/>
      <c r="J547" s="55"/>
      <c r="K547" s="55"/>
      <c r="L547" s="55">
        <v>300</v>
      </c>
      <c r="M547" s="55"/>
      <c r="N547" s="55"/>
      <c r="O547" s="55"/>
      <c r="P547" s="55">
        <v>2500</v>
      </c>
      <c r="Q547" s="55"/>
      <c r="R547" s="55"/>
      <c r="S547" s="55"/>
      <c r="T547" s="55"/>
      <c r="U547" s="55"/>
      <c r="V547" s="55"/>
      <c r="W547" s="57"/>
      <c r="X547" s="55"/>
      <c r="Y547" s="55">
        <f t="shared" si="80"/>
        <v>0</v>
      </c>
      <c r="Z547">
        <f t="shared" si="81"/>
        <v>0</v>
      </c>
      <c r="AA547">
        <f t="shared" si="82"/>
        <v>0</v>
      </c>
      <c r="AB547">
        <f t="shared" si="83"/>
        <v>300</v>
      </c>
      <c r="AC547">
        <f t="shared" si="84"/>
        <v>0</v>
      </c>
      <c r="AD547">
        <f t="shared" si="85"/>
        <v>2500</v>
      </c>
      <c r="AE547">
        <f t="shared" si="86"/>
        <v>0</v>
      </c>
      <c r="AF547">
        <f t="shared" si="87"/>
        <v>0</v>
      </c>
      <c r="AG547">
        <f t="shared" si="88"/>
        <v>0</v>
      </c>
      <c r="AH547">
        <f t="shared" si="89"/>
        <v>0</v>
      </c>
    </row>
    <row r="548" spans="1:34" x14ac:dyDescent="0.35">
      <c r="A548" s="45" t="s">
        <v>30</v>
      </c>
      <c r="B548" s="45">
        <v>2020</v>
      </c>
      <c r="C548" s="45" t="s">
        <v>43</v>
      </c>
      <c r="D548" s="45" t="s">
        <v>46</v>
      </c>
      <c r="E548" s="55"/>
      <c r="F548" s="55"/>
      <c r="G548" s="55"/>
      <c r="H548" s="55"/>
      <c r="I548" s="55"/>
      <c r="J548" s="55"/>
      <c r="K548" s="55">
        <v>2500</v>
      </c>
      <c r="L548" s="55"/>
      <c r="M548" s="55"/>
      <c r="N548" s="55"/>
      <c r="O548" s="55">
        <v>500</v>
      </c>
      <c r="P548" s="55"/>
      <c r="Q548" s="55"/>
      <c r="R548" s="55"/>
      <c r="S548" s="55"/>
      <c r="T548" s="55"/>
      <c r="U548" s="55"/>
      <c r="V548" s="55">
        <v>10000</v>
      </c>
      <c r="W548" s="55"/>
      <c r="X548" s="55"/>
      <c r="Y548" s="55">
        <f t="shared" si="80"/>
        <v>0</v>
      </c>
      <c r="Z548">
        <f t="shared" si="81"/>
        <v>0</v>
      </c>
      <c r="AA548">
        <f t="shared" si="82"/>
        <v>0</v>
      </c>
      <c r="AB548">
        <f t="shared" si="83"/>
        <v>2500</v>
      </c>
      <c r="AC548">
        <f t="shared" si="84"/>
        <v>0</v>
      </c>
      <c r="AD548">
        <f t="shared" si="85"/>
        <v>500</v>
      </c>
      <c r="AE548">
        <f t="shared" si="86"/>
        <v>0</v>
      </c>
      <c r="AF548">
        <f t="shared" si="87"/>
        <v>0</v>
      </c>
      <c r="AG548">
        <f t="shared" si="88"/>
        <v>10000</v>
      </c>
      <c r="AH548">
        <f t="shared" si="89"/>
        <v>0</v>
      </c>
    </row>
    <row r="549" spans="1:34" ht="15.5" x14ac:dyDescent="0.35">
      <c r="A549" s="45" t="s">
        <v>30</v>
      </c>
      <c r="B549" s="45">
        <v>2020</v>
      </c>
      <c r="C549" s="45" t="s">
        <v>43</v>
      </c>
      <c r="D549" s="45" t="s">
        <v>46</v>
      </c>
      <c r="E549" s="55"/>
      <c r="F549" s="55"/>
      <c r="G549" s="55"/>
      <c r="H549" s="55"/>
      <c r="I549" s="55"/>
      <c r="J549" s="55">
        <v>500</v>
      </c>
      <c r="K549" s="55"/>
      <c r="L549" s="55"/>
      <c r="M549" s="55"/>
      <c r="N549" s="55"/>
      <c r="O549" s="55"/>
      <c r="P549" s="55"/>
      <c r="Q549" s="55"/>
      <c r="R549" s="55"/>
      <c r="S549" s="55">
        <v>2500</v>
      </c>
      <c r="T549" s="55"/>
      <c r="U549" s="55"/>
      <c r="V549" s="55"/>
      <c r="W549" s="59"/>
      <c r="X549" s="55">
        <v>1000</v>
      </c>
      <c r="Y549" s="55">
        <f t="shared" si="80"/>
        <v>0</v>
      </c>
      <c r="Z549">
        <f t="shared" si="81"/>
        <v>0</v>
      </c>
      <c r="AA549">
        <f t="shared" si="82"/>
        <v>500</v>
      </c>
      <c r="AB549">
        <f t="shared" si="83"/>
        <v>0</v>
      </c>
      <c r="AC549">
        <f t="shared" si="84"/>
        <v>0</v>
      </c>
      <c r="AD549">
        <f t="shared" si="85"/>
        <v>0</v>
      </c>
      <c r="AE549">
        <f t="shared" si="86"/>
        <v>0</v>
      </c>
      <c r="AF549">
        <f t="shared" si="87"/>
        <v>2500</v>
      </c>
      <c r="AG549">
        <f t="shared" si="88"/>
        <v>0</v>
      </c>
      <c r="AH549">
        <f t="shared" si="89"/>
        <v>1000</v>
      </c>
    </row>
    <row r="550" spans="1:34" ht="15.5" x14ac:dyDescent="0.35">
      <c r="A550" s="45" t="s">
        <v>30</v>
      </c>
      <c r="B550" s="45">
        <v>2021</v>
      </c>
      <c r="C550" s="45" t="s">
        <v>65</v>
      </c>
      <c r="D550" s="45" t="s">
        <v>139</v>
      </c>
      <c r="E550" s="55"/>
      <c r="F550" s="55"/>
      <c r="G550" s="55"/>
      <c r="H550" s="55"/>
      <c r="I550" s="55"/>
      <c r="J550" s="55"/>
      <c r="K550" s="55"/>
      <c r="L550" s="55"/>
      <c r="M550" s="55"/>
      <c r="N550" s="55"/>
      <c r="O550" s="55"/>
      <c r="P550" s="55"/>
      <c r="Q550" s="55"/>
      <c r="R550" s="55"/>
      <c r="S550" s="55"/>
      <c r="T550" s="56"/>
      <c r="U550" s="55"/>
      <c r="V550" s="55">
        <v>12000</v>
      </c>
      <c r="W550" s="55">
        <v>2500</v>
      </c>
      <c r="X550" s="55"/>
      <c r="Y550" s="55">
        <f t="shared" si="80"/>
        <v>0</v>
      </c>
      <c r="Z550">
        <f t="shared" si="81"/>
        <v>0</v>
      </c>
      <c r="AA550">
        <f t="shared" si="82"/>
        <v>0</v>
      </c>
      <c r="AB550">
        <f t="shared" si="83"/>
        <v>0</v>
      </c>
      <c r="AC550">
        <f t="shared" si="84"/>
        <v>0</v>
      </c>
      <c r="AD550">
        <f t="shared" si="85"/>
        <v>0</v>
      </c>
      <c r="AE550">
        <f t="shared" si="86"/>
        <v>0</v>
      </c>
      <c r="AF550">
        <f t="shared" si="87"/>
        <v>0</v>
      </c>
      <c r="AG550">
        <f t="shared" si="88"/>
        <v>12000</v>
      </c>
      <c r="AH550">
        <f t="shared" si="89"/>
        <v>2500</v>
      </c>
    </row>
    <row r="551" spans="1:34" x14ac:dyDescent="0.35">
      <c r="A551" s="45" t="s">
        <v>30</v>
      </c>
      <c r="B551" s="45">
        <v>2021</v>
      </c>
      <c r="C551" s="45" t="s">
        <v>65</v>
      </c>
      <c r="D551" s="45" t="s">
        <v>44</v>
      </c>
      <c r="E551" s="55"/>
      <c r="F551" s="55"/>
      <c r="G551" s="55"/>
      <c r="H551" s="55"/>
      <c r="I551" s="55"/>
      <c r="J551" s="55"/>
      <c r="K551" s="55"/>
      <c r="L551" s="55"/>
      <c r="M551" s="55"/>
      <c r="N551" s="55"/>
      <c r="O551" s="55"/>
      <c r="P551" s="55"/>
      <c r="Q551" s="55"/>
      <c r="R551" s="55"/>
      <c r="S551" s="55"/>
      <c r="T551" s="55"/>
      <c r="U551" s="55"/>
      <c r="V551" s="55"/>
      <c r="W551" s="55"/>
      <c r="X551" s="55"/>
      <c r="Y551" s="55">
        <f t="shared" si="80"/>
        <v>0</v>
      </c>
      <c r="Z551">
        <f t="shared" si="81"/>
        <v>0</v>
      </c>
      <c r="AA551">
        <f t="shared" si="82"/>
        <v>0</v>
      </c>
      <c r="AB551">
        <f t="shared" si="83"/>
        <v>0</v>
      </c>
      <c r="AC551">
        <f t="shared" si="84"/>
        <v>0</v>
      </c>
      <c r="AD551">
        <f t="shared" si="85"/>
        <v>0</v>
      </c>
      <c r="AE551">
        <f t="shared" si="86"/>
        <v>0</v>
      </c>
      <c r="AF551">
        <f t="shared" si="87"/>
        <v>0</v>
      </c>
      <c r="AG551">
        <f t="shared" si="88"/>
        <v>0</v>
      </c>
      <c r="AH551">
        <f t="shared" si="89"/>
        <v>0</v>
      </c>
    </row>
    <row r="552" spans="1:34" ht="15.5" x14ac:dyDescent="0.35">
      <c r="A552" s="45" t="s">
        <v>30</v>
      </c>
      <c r="B552" s="45">
        <v>2021</v>
      </c>
      <c r="C552" s="45" t="s">
        <v>43</v>
      </c>
      <c r="D552" s="45" t="s">
        <v>69</v>
      </c>
      <c r="E552" s="55"/>
      <c r="F552" s="55"/>
      <c r="G552" s="55"/>
      <c r="H552" s="55"/>
      <c r="I552" s="55"/>
      <c r="J552" s="56">
        <v>8175</v>
      </c>
      <c r="K552" s="55"/>
      <c r="L552" s="55"/>
      <c r="M552" s="55"/>
      <c r="N552" s="55"/>
      <c r="O552" s="55"/>
      <c r="P552" s="55"/>
      <c r="Q552" s="55"/>
      <c r="R552" s="55"/>
      <c r="S552" s="55"/>
      <c r="T552" s="56"/>
      <c r="U552" s="55"/>
      <c r="V552" s="55"/>
      <c r="W552" s="55"/>
      <c r="X552" s="55"/>
      <c r="Y552" s="55">
        <f t="shared" si="80"/>
        <v>0</v>
      </c>
      <c r="Z552">
        <f t="shared" si="81"/>
        <v>0</v>
      </c>
      <c r="AA552">
        <f t="shared" si="82"/>
        <v>8175</v>
      </c>
      <c r="AB552">
        <f t="shared" si="83"/>
        <v>0</v>
      </c>
      <c r="AC552">
        <f t="shared" si="84"/>
        <v>0</v>
      </c>
      <c r="AD552">
        <f t="shared" si="85"/>
        <v>0</v>
      </c>
      <c r="AE552">
        <f t="shared" si="86"/>
        <v>0</v>
      </c>
      <c r="AF552">
        <f t="shared" si="87"/>
        <v>0</v>
      </c>
      <c r="AG552">
        <f t="shared" si="88"/>
        <v>0</v>
      </c>
      <c r="AH552">
        <f t="shared" si="89"/>
        <v>0</v>
      </c>
    </row>
    <row r="553" spans="1:34" x14ac:dyDescent="0.35">
      <c r="A553" s="45" t="s">
        <v>30</v>
      </c>
      <c r="B553" s="45">
        <v>2021</v>
      </c>
      <c r="C553" s="45" t="s">
        <v>43</v>
      </c>
      <c r="D553" s="45" t="s">
        <v>140</v>
      </c>
      <c r="E553" s="55"/>
      <c r="F553" s="55"/>
      <c r="G553" s="55"/>
      <c r="H553" s="55"/>
      <c r="I553" s="55"/>
      <c r="J553" s="55"/>
      <c r="K553" s="55"/>
      <c r="L553" s="55"/>
      <c r="M553" s="55"/>
      <c r="N553" s="55"/>
      <c r="O553" s="55"/>
      <c r="P553" s="55">
        <v>2500</v>
      </c>
      <c r="Q553" s="55"/>
      <c r="R553" s="55"/>
      <c r="S553" s="55"/>
      <c r="T553" s="55"/>
      <c r="U553" s="55"/>
      <c r="V553" s="55"/>
      <c r="W553" s="55"/>
      <c r="X553" s="55"/>
      <c r="Y553" s="55">
        <f t="shared" si="80"/>
        <v>0</v>
      </c>
      <c r="Z553">
        <f t="shared" si="81"/>
        <v>0</v>
      </c>
      <c r="AA553">
        <f t="shared" si="82"/>
        <v>0</v>
      </c>
      <c r="AB553">
        <f t="shared" si="83"/>
        <v>0</v>
      </c>
      <c r="AC553">
        <f t="shared" si="84"/>
        <v>0</v>
      </c>
      <c r="AD553">
        <f t="shared" si="85"/>
        <v>2500</v>
      </c>
      <c r="AE553">
        <f t="shared" si="86"/>
        <v>0</v>
      </c>
      <c r="AF553">
        <f t="shared" si="87"/>
        <v>0</v>
      </c>
      <c r="AG553">
        <f t="shared" si="88"/>
        <v>0</v>
      </c>
      <c r="AH553">
        <f t="shared" si="89"/>
        <v>0</v>
      </c>
    </row>
    <row r="554" spans="1:34" x14ac:dyDescent="0.35">
      <c r="A554" s="45" t="s">
        <v>30</v>
      </c>
      <c r="B554" s="45">
        <v>2021</v>
      </c>
      <c r="C554" s="45" t="s">
        <v>65</v>
      </c>
      <c r="D554" s="45" t="s">
        <v>143</v>
      </c>
      <c r="E554" s="55"/>
      <c r="F554" s="55"/>
      <c r="G554" s="55"/>
      <c r="H554" s="55"/>
      <c r="I554" s="55"/>
      <c r="J554" s="55"/>
      <c r="K554" s="55"/>
      <c r="L554" s="55"/>
      <c r="M554" s="55"/>
      <c r="N554" s="55"/>
      <c r="O554" s="55"/>
      <c r="P554" s="55"/>
      <c r="Q554" s="55"/>
      <c r="R554" s="55"/>
      <c r="S554" s="55"/>
      <c r="T554" s="55"/>
      <c r="U554" s="55"/>
      <c r="V554" s="55">
        <v>300</v>
      </c>
      <c r="W554" s="55"/>
      <c r="X554" s="55"/>
      <c r="Y554" s="55">
        <f t="shared" si="80"/>
        <v>0</v>
      </c>
      <c r="Z554">
        <f t="shared" si="81"/>
        <v>0</v>
      </c>
      <c r="AA554">
        <f t="shared" si="82"/>
        <v>0</v>
      </c>
      <c r="AB554">
        <f t="shared" si="83"/>
        <v>0</v>
      </c>
      <c r="AC554">
        <f t="shared" si="84"/>
        <v>0</v>
      </c>
      <c r="AD554">
        <f t="shared" si="85"/>
        <v>0</v>
      </c>
      <c r="AE554">
        <f t="shared" si="86"/>
        <v>0</v>
      </c>
      <c r="AF554">
        <f t="shared" si="87"/>
        <v>0</v>
      </c>
      <c r="AG554">
        <f t="shared" si="88"/>
        <v>300</v>
      </c>
      <c r="AH554">
        <f t="shared" si="89"/>
        <v>0</v>
      </c>
    </row>
    <row r="555" spans="1:34" ht="15.5" x14ac:dyDescent="0.35">
      <c r="A555" s="45" t="s">
        <v>30</v>
      </c>
      <c r="B555" s="45">
        <v>2021</v>
      </c>
      <c r="C555" s="45" t="s">
        <v>65</v>
      </c>
      <c r="D555" s="45" t="s">
        <v>54</v>
      </c>
      <c r="E555" s="55"/>
      <c r="F555" s="55"/>
      <c r="G555" s="55"/>
      <c r="H555" s="55">
        <v>300</v>
      </c>
      <c r="I555" s="55"/>
      <c r="J555" s="55"/>
      <c r="K555" s="55"/>
      <c r="L555" s="55"/>
      <c r="M555" s="55"/>
      <c r="N555" s="55"/>
      <c r="O555" s="55"/>
      <c r="P555" s="55"/>
      <c r="Q555" s="55"/>
      <c r="R555" s="55"/>
      <c r="S555" s="55"/>
      <c r="T555" s="56"/>
      <c r="U555" s="55"/>
      <c r="V555" s="55"/>
      <c r="W555" s="55"/>
      <c r="X555" s="55"/>
      <c r="Y555" s="55">
        <f t="shared" si="80"/>
        <v>0</v>
      </c>
      <c r="Z555">
        <f t="shared" si="81"/>
        <v>300</v>
      </c>
      <c r="AA555">
        <f t="shared" si="82"/>
        <v>0</v>
      </c>
      <c r="AB555">
        <f t="shared" si="83"/>
        <v>0</v>
      </c>
      <c r="AC555">
        <f t="shared" si="84"/>
        <v>0</v>
      </c>
      <c r="AD555">
        <f t="shared" si="85"/>
        <v>0</v>
      </c>
      <c r="AE555">
        <f t="shared" si="86"/>
        <v>0</v>
      </c>
      <c r="AF555">
        <f t="shared" si="87"/>
        <v>0</v>
      </c>
      <c r="AG555">
        <f t="shared" si="88"/>
        <v>0</v>
      </c>
      <c r="AH555">
        <f t="shared" si="89"/>
        <v>0</v>
      </c>
    </row>
    <row r="556" spans="1:34" ht="15.5" x14ac:dyDescent="0.35">
      <c r="A556" s="45" t="s">
        <v>30</v>
      </c>
      <c r="B556" s="45">
        <v>2021</v>
      </c>
      <c r="C556" s="45" t="s">
        <v>43</v>
      </c>
      <c r="D556" s="45" t="s">
        <v>142</v>
      </c>
      <c r="E556" s="55"/>
      <c r="F556" s="55"/>
      <c r="G556" s="55">
        <v>2500</v>
      </c>
      <c r="H556" s="55"/>
      <c r="I556" s="55"/>
      <c r="J556" s="55"/>
      <c r="K556" s="55"/>
      <c r="L556" s="55">
        <v>208</v>
      </c>
      <c r="M556" s="55"/>
      <c r="N556" s="55"/>
      <c r="O556" s="55"/>
      <c r="P556" s="55"/>
      <c r="Q556" s="55"/>
      <c r="R556" s="56"/>
      <c r="S556" s="55"/>
      <c r="T556" s="55"/>
      <c r="U556" s="55"/>
      <c r="V556" s="55"/>
      <c r="W556" s="55"/>
      <c r="X556" s="55"/>
      <c r="Y556" s="55">
        <f t="shared" si="80"/>
        <v>0</v>
      </c>
      <c r="Z556">
        <f t="shared" si="81"/>
        <v>2500</v>
      </c>
      <c r="AA556">
        <f t="shared" si="82"/>
        <v>0</v>
      </c>
      <c r="AB556">
        <f t="shared" si="83"/>
        <v>208</v>
      </c>
      <c r="AC556">
        <f t="shared" si="84"/>
        <v>0</v>
      </c>
      <c r="AD556">
        <f t="shared" si="85"/>
        <v>0</v>
      </c>
      <c r="AE556">
        <f t="shared" si="86"/>
        <v>0</v>
      </c>
      <c r="AF556">
        <f t="shared" si="87"/>
        <v>0</v>
      </c>
      <c r="AG556">
        <f t="shared" si="88"/>
        <v>0</v>
      </c>
      <c r="AH556">
        <f t="shared" si="89"/>
        <v>0</v>
      </c>
    </row>
    <row r="557" spans="1:34" ht="15.5" x14ac:dyDescent="0.35">
      <c r="A557" s="45" t="s">
        <v>30</v>
      </c>
      <c r="B557" s="45">
        <v>2021</v>
      </c>
      <c r="C557" s="45" t="s">
        <v>43</v>
      </c>
      <c r="D557" s="45" t="s">
        <v>44</v>
      </c>
      <c r="E557" s="55"/>
      <c r="F557" s="55">
        <v>500</v>
      </c>
      <c r="G557" s="55"/>
      <c r="H557" s="55"/>
      <c r="I557" s="55"/>
      <c r="J557" s="55"/>
      <c r="K557" s="55"/>
      <c r="L557" s="55"/>
      <c r="M557" s="55">
        <v>510</v>
      </c>
      <c r="N557" s="55"/>
      <c r="O557" s="55"/>
      <c r="P557" s="55"/>
      <c r="Q557" s="55"/>
      <c r="R557" s="56"/>
      <c r="S557" s="55"/>
      <c r="T557" s="55"/>
      <c r="U557" s="55"/>
      <c r="V557" s="55"/>
      <c r="W557" s="55"/>
      <c r="X557" s="55"/>
      <c r="Y557" s="55">
        <f t="shared" si="80"/>
        <v>500</v>
      </c>
      <c r="Z557">
        <f t="shared" si="81"/>
        <v>0</v>
      </c>
      <c r="AA557">
        <f t="shared" si="82"/>
        <v>0</v>
      </c>
      <c r="AB557">
        <f t="shared" si="83"/>
        <v>0</v>
      </c>
      <c r="AC557">
        <f t="shared" si="84"/>
        <v>510</v>
      </c>
      <c r="AD557">
        <f t="shared" si="85"/>
        <v>0</v>
      </c>
      <c r="AE557">
        <f t="shared" si="86"/>
        <v>0</v>
      </c>
      <c r="AF557">
        <f t="shared" si="87"/>
        <v>0</v>
      </c>
      <c r="AG557">
        <f t="shared" si="88"/>
        <v>0</v>
      </c>
      <c r="AH557">
        <f t="shared" si="89"/>
        <v>0</v>
      </c>
    </row>
    <row r="558" spans="1:34" ht="15.5" x14ac:dyDescent="0.35">
      <c r="A558" s="45" t="s">
        <v>30</v>
      </c>
      <c r="B558" s="45">
        <v>2021</v>
      </c>
      <c r="C558" s="45" t="s">
        <v>65</v>
      </c>
      <c r="D558" s="45" t="s">
        <v>45</v>
      </c>
      <c r="E558" s="55">
        <v>1000</v>
      </c>
      <c r="F558" s="55"/>
      <c r="G558" s="55"/>
      <c r="H558" s="55"/>
      <c r="I558" s="55"/>
      <c r="J558" s="55"/>
      <c r="K558" s="55"/>
      <c r="L558" s="55"/>
      <c r="M558" s="55"/>
      <c r="N558" s="55"/>
      <c r="O558" s="55"/>
      <c r="P558" s="55"/>
      <c r="Q558" s="55"/>
      <c r="R558" s="55"/>
      <c r="S558" s="55"/>
      <c r="T558" s="56"/>
      <c r="U558" s="55"/>
      <c r="V558" s="55"/>
      <c r="W558" s="55">
        <v>2000</v>
      </c>
      <c r="X558" s="55"/>
      <c r="Y558" s="55">
        <f t="shared" si="80"/>
        <v>1000</v>
      </c>
      <c r="Z558">
        <f t="shared" si="81"/>
        <v>0</v>
      </c>
      <c r="AA558">
        <f t="shared" si="82"/>
        <v>0</v>
      </c>
      <c r="AB558">
        <f t="shared" si="83"/>
        <v>0</v>
      </c>
      <c r="AC558">
        <f t="shared" si="84"/>
        <v>0</v>
      </c>
      <c r="AD558">
        <f t="shared" si="85"/>
        <v>0</v>
      </c>
      <c r="AE558">
        <f t="shared" si="86"/>
        <v>0</v>
      </c>
      <c r="AF558">
        <f t="shared" si="87"/>
        <v>0</v>
      </c>
      <c r="AG558">
        <f t="shared" si="88"/>
        <v>0</v>
      </c>
      <c r="AH558">
        <f t="shared" si="89"/>
        <v>2000</v>
      </c>
    </row>
    <row r="559" spans="1:34" ht="15.5" x14ac:dyDescent="0.35">
      <c r="A559" s="45" t="s">
        <v>30</v>
      </c>
      <c r="B559" s="45">
        <v>2021</v>
      </c>
      <c r="C559" s="45" t="s">
        <v>65</v>
      </c>
      <c r="D559" s="45" t="s">
        <v>46</v>
      </c>
      <c r="E559" s="55"/>
      <c r="F559" s="55"/>
      <c r="G559" s="55"/>
      <c r="H559" s="55"/>
      <c r="I559" s="55"/>
      <c r="J559" s="55">
        <v>500</v>
      </c>
      <c r="K559" s="55"/>
      <c r="L559" s="55"/>
      <c r="M559" s="55"/>
      <c r="N559" s="55"/>
      <c r="O559" s="55"/>
      <c r="P559" s="55"/>
      <c r="Q559" s="55"/>
      <c r="R559" s="56"/>
      <c r="S559" s="55"/>
      <c r="T559" s="55"/>
      <c r="U559" s="55"/>
      <c r="V559" s="55"/>
      <c r="W559" s="55"/>
      <c r="X559" s="55"/>
      <c r="Y559" s="55">
        <f t="shared" si="80"/>
        <v>0</v>
      </c>
      <c r="Z559">
        <f t="shared" si="81"/>
        <v>0</v>
      </c>
      <c r="AA559">
        <f t="shared" si="82"/>
        <v>500</v>
      </c>
      <c r="AB559">
        <f t="shared" si="83"/>
        <v>0</v>
      </c>
      <c r="AC559">
        <f t="shared" si="84"/>
        <v>0</v>
      </c>
      <c r="AD559">
        <f t="shared" si="85"/>
        <v>0</v>
      </c>
      <c r="AE559">
        <f t="shared" si="86"/>
        <v>0</v>
      </c>
      <c r="AF559">
        <f t="shared" si="87"/>
        <v>0</v>
      </c>
      <c r="AG559">
        <f t="shared" si="88"/>
        <v>0</v>
      </c>
      <c r="AH559">
        <f t="shared" si="89"/>
        <v>0</v>
      </c>
    </row>
    <row r="560" spans="1:34" ht="15.5" x14ac:dyDescent="0.35">
      <c r="A560" s="45" t="s">
        <v>30</v>
      </c>
      <c r="B560" s="45">
        <v>2021</v>
      </c>
      <c r="C560" s="45" t="s">
        <v>43</v>
      </c>
      <c r="D560" s="45" t="s">
        <v>46</v>
      </c>
      <c r="E560" s="59"/>
      <c r="F560" s="55"/>
      <c r="G560" s="55"/>
      <c r="H560" s="55"/>
      <c r="I560" s="55"/>
      <c r="J560" s="55"/>
      <c r="K560" s="55"/>
      <c r="L560" s="55"/>
      <c r="M560" s="59"/>
      <c r="N560" s="55"/>
      <c r="O560" s="55"/>
      <c r="P560" s="55"/>
      <c r="Q560" s="55"/>
      <c r="R560" s="55"/>
      <c r="S560" s="55"/>
      <c r="T560" s="55">
        <v>200</v>
      </c>
      <c r="U560" s="55"/>
      <c r="V560" s="55"/>
      <c r="W560" s="55"/>
      <c r="X560" s="55"/>
      <c r="Y560" s="55">
        <f t="shared" si="80"/>
        <v>0</v>
      </c>
      <c r="Z560">
        <f t="shared" si="81"/>
        <v>0</v>
      </c>
      <c r="AA560">
        <f t="shared" si="82"/>
        <v>0</v>
      </c>
      <c r="AB560">
        <f t="shared" si="83"/>
        <v>0</v>
      </c>
      <c r="AC560">
        <f t="shared" si="84"/>
        <v>0</v>
      </c>
      <c r="AD560">
        <f t="shared" si="85"/>
        <v>0</v>
      </c>
      <c r="AE560">
        <f t="shared" si="86"/>
        <v>0</v>
      </c>
      <c r="AF560">
        <f t="shared" si="87"/>
        <v>200</v>
      </c>
      <c r="AG560">
        <f t="shared" si="88"/>
        <v>0</v>
      </c>
      <c r="AH560">
        <f t="shared" si="89"/>
        <v>0</v>
      </c>
    </row>
    <row r="561" spans="1:34" ht="15.5" x14ac:dyDescent="0.35">
      <c r="A561" s="45" t="s">
        <v>30</v>
      </c>
      <c r="B561" s="45">
        <v>2021</v>
      </c>
      <c r="C561" s="45" t="s">
        <v>43</v>
      </c>
      <c r="D561" s="45" t="s">
        <v>139</v>
      </c>
      <c r="E561" s="55"/>
      <c r="F561" s="55"/>
      <c r="G561" s="55"/>
      <c r="H561" s="55"/>
      <c r="I561" s="55"/>
      <c r="J561" s="55"/>
      <c r="K561" s="55"/>
      <c r="L561" s="55"/>
      <c r="M561" s="59"/>
      <c r="N561" s="55">
        <v>500</v>
      </c>
      <c r="O561" s="55"/>
      <c r="P561" s="55"/>
      <c r="Q561" s="55"/>
      <c r="R561" s="55"/>
      <c r="S561" s="55"/>
      <c r="T561" s="55"/>
      <c r="U561" s="55">
        <v>60</v>
      </c>
      <c r="V561" s="55"/>
      <c r="W561" s="55"/>
      <c r="X561" s="55"/>
      <c r="Y561" s="55">
        <f t="shared" si="80"/>
        <v>0</v>
      </c>
      <c r="Z561">
        <f t="shared" si="81"/>
        <v>0</v>
      </c>
      <c r="AA561">
        <f t="shared" si="82"/>
        <v>0</v>
      </c>
      <c r="AB561">
        <f t="shared" si="83"/>
        <v>0</v>
      </c>
      <c r="AC561">
        <f t="shared" si="84"/>
        <v>500</v>
      </c>
      <c r="AD561">
        <f t="shared" si="85"/>
        <v>0</v>
      </c>
      <c r="AE561">
        <f t="shared" si="86"/>
        <v>0</v>
      </c>
      <c r="AF561">
        <f t="shared" si="87"/>
        <v>0</v>
      </c>
      <c r="AG561">
        <f t="shared" si="88"/>
        <v>60</v>
      </c>
      <c r="AH561">
        <f t="shared" si="89"/>
        <v>0</v>
      </c>
    </row>
    <row r="562" spans="1:34" x14ac:dyDescent="0.35">
      <c r="A562" s="45" t="s">
        <v>30</v>
      </c>
      <c r="B562" s="45">
        <v>2021</v>
      </c>
      <c r="C562" s="45" t="s">
        <v>65</v>
      </c>
      <c r="D562" s="45" t="s">
        <v>44</v>
      </c>
      <c r="E562" s="55"/>
      <c r="F562" s="55"/>
      <c r="G562" s="55"/>
      <c r="H562" s="55">
        <v>500</v>
      </c>
      <c r="I562" s="55"/>
      <c r="J562" s="55"/>
      <c r="K562" s="55"/>
      <c r="L562" s="55"/>
      <c r="M562" s="55"/>
      <c r="N562" s="55"/>
      <c r="O562" s="55"/>
      <c r="P562" s="55"/>
      <c r="Q562" s="55"/>
      <c r="R562" s="55"/>
      <c r="S562" s="55"/>
      <c r="T562" s="55"/>
      <c r="U562" s="55"/>
      <c r="V562" s="55"/>
      <c r="W562" s="55"/>
      <c r="X562" s="55"/>
      <c r="Y562" s="55">
        <f t="shared" si="80"/>
        <v>0</v>
      </c>
      <c r="Z562">
        <f t="shared" si="81"/>
        <v>500</v>
      </c>
      <c r="AA562">
        <f t="shared" si="82"/>
        <v>0</v>
      </c>
      <c r="AB562">
        <f t="shared" si="83"/>
        <v>0</v>
      </c>
      <c r="AC562">
        <f t="shared" si="84"/>
        <v>0</v>
      </c>
      <c r="AD562">
        <f t="shared" si="85"/>
        <v>0</v>
      </c>
      <c r="AE562">
        <f t="shared" si="86"/>
        <v>0</v>
      </c>
      <c r="AF562">
        <f t="shared" si="87"/>
        <v>0</v>
      </c>
      <c r="AG562">
        <f t="shared" si="88"/>
        <v>0</v>
      </c>
      <c r="AH562">
        <f t="shared" si="89"/>
        <v>0</v>
      </c>
    </row>
    <row r="563" spans="1:34" ht="15.5" x14ac:dyDescent="0.35">
      <c r="A563" s="45" t="s">
        <v>30</v>
      </c>
      <c r="B563" s="45">
        <v>2021</v>
      </c>
      <c r="C563" s="45" t="s">
        <v>65</v>
      </c>
      <c r="D563" s="45" t="s">
        <v>69</v>
      </c>
      <c r="E563" s="55">
        <v>110</v>
      </c>
      <c r="F563" s="55"/>
      <c r="G563" s="55"/>
      <c r="H563" s="55">
        <v>300</v>
      </c>
      <c r="I563" s="55"/>
      <c r="J563" s="55"/>
      <c r="K563" s="55"/>
      <c r="L563" s="55"/>
      <c r="M563" s="55"/>
      <c r="N563" s="55"/>
      <c r="O563" s="55"/>
      <c r="P563" s="55"/>
      <c r="Q563" s="55"/>
      <c r="R563" s="55"/>
      <c r="S563" s="56">
        <v>24981.781999999999</v>
      </c>
      <c r="T563" s="55"/>
      <c r="U563" s="55"/>
      <c r="V563" s="55"/>
      <c r="W563" s="55"/>
      <c r="X563" s="55"/>
      <c r="Y563" s="55">
        <f t="shared" si="80"/>
        <v>110</v>
      </c>
      <c r="Z563">
        <f t="shared" si="81"/>
        <v>300</v>
      </c>
      <c r="AA563">
        <f t="shared" si="82"/>
        <v>0</v>
      </c>
      <c r="AB563">
        <f t="shared" si="83"/>
        <v>0</v>
      </c>
      <c r="AC563">
        <f t="shared" si="84"/>
        <v>0</v>
      </c>
      <c r="AD563">
        <f t="shared" si="85"/>
        <v>0</v>
      </c>
      <c r="AE563">
        <f t="shared" si="86"/>
        <v>0</v>
      </c>
      <c r="AF563">
        <f t="shared" si="87"/>
        <v>24981.781999999999</v>
      </c>
      <c r="AG563">
        <f t="shared" si="88"/>
        <v>0</v>
      </c>
      <c r="AH563">
        <f t="shared" si="89"/>
        <v>0</v>
      </c>
    </row>
    <row r="564" spans="1:34" x14ac:dyDescent="0.35">
      <c r="A564" s="45" t="s">
        <v>30</v>
      </c>
      <c r="B564" s="45">
        <v>2021</v>
      </c>
      <c r="C564" s="45" t="s">
        <v>43</v>
      </c>
      <c r="D564" s="45" t="s">
        <v>140</v>
      </c>
      <c r="E564" s="55"/>
      <c r="F564" s="55"/>
      <c r="G564" s="55"/>
      <c r="H564" s="55"/>
      <c r="I564" s="55"/>
      <c r="J564" s="55">
        <v>2000</v>
      </c>
      <c r="K564" s="55">
        <v>1500</v>
      </c>
      <c r="L564" s="55"/>
      <c r="M564" s="55">
        <v>300</v>
      </c>
      <c r="N564" s="55"/>
      <c r="O564" s="55"/>
      <c r="P564" s="55"/>
      <c r="Q564" s="55"/>
      <c r="R564" s="55"/>
      <c r="S564" s="55"/>
      <c r="T564" s="55"/>
      <c r="U564" s="55"/>
      <c r="V564" s="55"/>
      <c r="W564" s="55"/>
      <c r="X564" s="55"/>
      <c r="Y564" s="55">
        <f t="shared" si="80"/>
        <v>0</v>
      </c>
      <c r="Z564">
        <f t="shared" si="81"/>
        <v>0</v>
      </c>
      <c r="AA564">
        <f t="shared" si="82"/>
        <v>2000</v>
      </c>
      <c r="AB564">
        <f t="shared" si="83"/>
        <v>1500</v>
      </c>
      <c r="AC564">
        <f t="shared" si="84"/>
        <v>300</v>
      </c>
      <c r="AD564">
        <f t="shared" si="85"/>
        <v>0</v>
      </c>
      <c r="AE564">
        <f t="shared" si="86"/>
        <v>0</v>
      </c>
      <c r="AF564">
        <f t="shared" si="87"/>
        <v>0</v>
      </c>
      <c r="AG564">
        <f t="shared" si="88"/>
        <v>0</v>
      </c>
      <c r="AH564">
        <f t="shared" si="89"/>
        <v>0</v>
      </c>
    </row>
    <row r="565" spans="1:34" ht="15.5" x14ac:dyDescent="0.35">
      <c r="A565" s="45" t="s">
        <v>30</v>
      </c>
      <c r="B565" s="45">
        <v>2017</v>
      </c>
      <c r="C565" s="45" t="s">
        <v>43</v>
      </c>
      <c r="D565" s="45" t="s">
        <v>143</v>
      </c>
      <c r="E565" s="55"/>
      <c r="F565" s="55"/>
      <c r="G565" s="55"/>
      <c r="H565" s="55"/>
      <c r="I565" s="55"/>
      <c r="J565" s="55"/>
      <c r="K565" s="55"/>
      <c r="L565" s="55"/>
      <c r="M565" s="56">
        <v>3000</v>
      </c>
      <c r="N565" s="55"/>
      <c r="O565" s="55"/>
      <c r="P565" s="55"/>
      <c r="Q565" s="55"/>
      <c r="R565" s="55"/>
      <c r="S565" s="55"/>
      <c r="T565" s="55"/>
      <c r="U565" s="55"/>
      <c r="V565" s="55"/>
      <c r="W565" s="55"/>
      <c r="X565" s="55"/>
      <c r="Y565" s="55">
        <f t="shared" si="80"/>
        <v>0</v>
      </c>
      <c r="Z565">
        <f t="shared" si="81"/>
        <v>0</v>
      </c>
      <c r="AA565">
        <f t="shared" si="82"/>
        <v>0</v>
      </c>
      <c r="AB565">
        <f t="shared" si="83"/>
        <v>0</v>
      </c>
      <c r="AC565">
        <f t="shared" si="84"/>
        <v>3000</v>
      </c>
      <c r="AD565">
        <f t="shared" si="85"/>
        <v>0</v>
      </c>
      <c r="AE565">
        <f t="shared" si="86"/>
        <v>0</v>
      </c>
      <c r="AF565">
        <f t="shared" si="87"/>
        <v>0</v>
      </c>
      <c r="AG565">
        <f t="shared" si="88"/>
        <v>0</v>
      </c>
      <c r="AH565">
        <f t="shared" si="89"/>
        <v>0</v>
      </c>
    </row>
    <row r="566" spans="1:34" x14ac:dyDescent="0.35">
      <c r="A566" s="45" t="s">
        <v>30</v>
      </c>
      <c r="B566" s="45">
        <v>2017</v>
      </c>
      <c r="C566" s="45" t="s">
        <v>65</v>
      </c>
      <c r="D566" s="45" t="s">
        <v>54</v>
      </c>
      <c r="E566" s="55"/>
      <c r="F566" s="55"/>
      <c r="G566" s="55"/>
      <c r="H566" s="55"/>
      <c r="I566" s="55"/>
      <c r="J566" s="55"/>
      <c r="K566" s="55"/>
      <c r="L566" s="55"/>
      <c r="M566" s="55">
        <v>2000</v>
      </c>
      <c r="N566" s="55">
        <v>1500</v>
      </c>
      <c r="O566" s="55"/>
      <c r="P566" s="55">
        <v>300</v>
      </c>
      <c r="Q566" s="55"/>
      <c r="R566" s="55">
        <v>500</v>
      </c>
      <c r="S566" s="55"/>
      <c r="T566" s="55"/>
      <c r="U566" s="55"/>
      <c r="V566" s="55"/>
      <c r="W566" s="55"/>
      <c r="X566" s="55"/>
      <c r="Y566" s="55">
        <f t="shared" si="80"/>
        <v>0</v>
      </c>
      <c r="Z566">
        <f t="shared" si="81"/>
        <v>0</v>
      </c>
      <c r="AA566">
        <f t="shared" si="82"/>
        <v>0</v>
      </c>
      <c r="AB566">
        <f t="shared" si="83"/>
        <v>0</v>
      </c>
      <c r="AC566">
        <f t="shared" si="84"/>
        <v>3500</v>
      </c>
      <c r="AD566">
        <f t="shared" si="85"/>
        <v>300</v>
      </c>
      <c r="AE566">
        <f t="shared" si="86"/>
        <v>500</v>
      </c>
      <c r="AF566">
        <f t="shared" si="87"/>
        <v>0</v>
      </c>
      <c r="AG566">
        <f t="shared" si="88"/>
        <v>0</v>
      </c>
      <c r="AH566">
        <f t="shared" si="89"/>
        <v>0</v>
      </c>
    </row>
    <row r="567" spans="1:34" ht="15.5" x14ac:dyDescent="0.35">
      <c r="A567" s="45" t="s">
        <v>30</v>
      </c>
      <c r="B567" s="45">
        <v>2017</v>
      </c>
      <c r="C567" s="45" t="s">
        <v>65</v>
      </c>
      <c r="D567" s="45" t="s">
        <v>142</v>
      </c>
      <c r="E567" s="55"/>
      <c r="F567" s="55">
        <v>500</v>
      </c>
      <c r="G567" s="55"/>
      <c r="H567" s="55"/>
      <c r="I567" s="55"/>
      <c r="J567" s="55"/>
      <c r="K567" s="55"/>
      <c r="L567" s="55">
        <v>1500</v>
      </c>
      <c r="M567" s="55"/>
      <c r="N567" s="55"/>
      <c r="O567" s="55">
        <v>2000</v>
      </c>
      <c r="P567" s="55"/>
      <c r="Q567" s="55"/>
      <c r="R567" s="55">
        <v>300</v>
      </c>
      <c r="S567" s="56"/>
      <c r="T567" s="55"/>
      <c r="U567" s="55"/>
      <c r="V567" s="55"/>
      <c r="W567" s="55">
        <v>300</v>
      </c>
      <c r="X567" s="55"/>
      <c r="Y567" s="55">
        <f t="shared" si="80"/>
        <v>500</v>
      </c>
      <c r="Z567">
        <f t="shared" si="81"/>
        <v>0</v>
      </c>
      <c r="AA567">
        <f t="shared" si="82"/>
        <v>0</v>
      </c>
      <c r="AB567">
        <f t="shared" si="83"/>
        <v>1500</v>
      </c>
      <c r="AC567">
        <f t="shared" si="84"/>
        <v>0</v>
      </c>
      <c r="AD567">
        <f t="shared" si="85"/>
        <v>2000</v>
      </c>
      <c r="AE567">
        <f t="shared" si="86"/>
        <v>300</v>
      </c>
      <c r="AF567">
        <f t="shared" si="87"/>
        <v>0</v>
      </c>
      <c r="AG567">
        <f t="shared" si="88"/>
        <v>0</v>
      </c>
      <c r="AH567">
        <f t="shared" si="89"/>
        <v>300</v>
      </c>
    </row>
    <row r="568" spans="1:34" ht="15.5" x14ac:dyDescent="0.35">
      <c r="A568" s="45" t="s">
        <v>30</v>
      </c>
      <c r="B568" s="45">
        <v>2017</v>
      </c>
      <c r="C568" s="45" t="s">
        <v>43</v>
      </c>
      <c r="D568" s="45" t="s">
        <v>44</v>
      </c>
      <c r="E568" s="55"/>
      <c r="F568" s="55">
        <v>300</v>
      </c>
      <c r="G568" s="56"/>
      <c r="H568" s="55"/>
      <c r="I568" s="55"/>
      <c r="J568" s="55"/>
      <c r="K568" s="55">
        <v>300</v>
      </c>
      <c r="L568" s="55"/>
      <c r="M568" s="55"/>
      <c r="N568" s="55"/>
      <c r="O568" s="55"/>
      <c r="P568" s="55"/>
      <c r="Q568" s="55"/>
      <c r="R568" s="55"/>
      <c r="S568" s="55"/>
      <c r="T568" s="55"/>
      <c r="U568" s="55"/>
      <c r="V568" s="55">
        <v>2500</v>
      </c>
      <c r="W568" s="55"/>
      <c r="X568" s="55"/>
      <c r="Y568" s="55">
        <f t="shared" si="80"/>
        <v>300</v>
      </c>
      <c r="Z568">
        <f t="shared" si="81"/>
        <v>0</v>
      </c>
      <c r="AA568">
        <f t="shared" si="82"/>
        <v>0</v>
      </c>
      <c r="AB568">
        <f t="shared" si="83"/>
        <v>300</v>
      </c>
      <c r="AC568">
        <f t="shared" si="84"/>
        <v>0</v>
      </c>
      <c r="AD568">
        <f t="shared" si="85"/>
        <v>0</v>
      </c>
      <c r="AE568">
        <f t="shared" si="86"/>
        <v>0</v>
      </c>
      <c r="AF568">
        <f t="shared" si="87"/>
        <v>0</v>
      </c>
      <c r="AG568">
        <f t="shared" si="88"/>
        <v>2500</v>
      </c>
      <c r="AH568">
        <f t="shared" si="89"/>
        <v>0</v>
      </c>
    </row>
    <row r="569" spans="1:34" ht="15.5" x14ac:dyDescent="0.35">
      <c r="A569" s="45" t="s">
        <v>30</v>
      </c>
      <c r="B569" s="45">
        <v>2016</v>
      </c>
      <c r="C569" s="45" t="s">
        <v>43</v>
      </c>
      <c r="D569" s="45" t="s">
        <v>45</v>
      </c>
      <c r="E569" s="55"/>
      <c r="F569" s="55"/>
      <c r="G569" s="55"/>
      <c r="H569" s="55"/>
      <c r="I569" s="55"/>
      <c r="J569" s="55">
        <v>2500</v>
      </c>
      <c r="K569" s="55"/>
      <c r="L569" s="55"/>
      <c r="M569" s="55"/>
      <c r="N569" s="55"/>
      <c r="O569" s="55"/>
      <c r="P569" s="55"/>
      <c r="Q569" s="55">
        <v>1000</v>
      </c>
      <c r="R569" s="55">
        <v>12000</v>
      </c>
      <c r="S569" s="58"/>
      <c r="T569" s="55"/>
      <c r="U569" s="55">
        <v>500</v>
      </c>
      <c r="V569" s="55"/>
      <c r="W569" s="55"/>
      <c r="X569" s="55"/>
      <c r="Y569" s="55">
        <f t="shared" si="80"/>
        <v>0</v>
      </c>
      <c r="Z569">
        <f t="shared" si="81"/>
        <v>0</v>
      </c>
      <c r="AA569">
        <f t="shared" si="82"/>
        <v>2500</v>
      </c>
      <c r="AB569">
        <f t="shared" si="83"/>
        <v>0</v>
      </c>
      <c r="AC569">
        <f t="shared" si="84"/>
        <v>0</v>
      </c>
      <c r="AD569">
        <f t="shared" si="85"/>
        <v>0</v>
      </c>
      <c r="AE569">
        <f t="shared" si="86"/>
        <v>13000</v>
      </c>
      <c r="AF569">
        <f t="shared" si="87"/>
        <v>0</v>
      </c>
      <c r="AG569">
        <f t="shared" si="88"/>
        <v>500</v>
      </c>
      <c r="AH569">
        <f t="shared" si="89"/>
        <v>0</v>
      </c>
    </row>
    <row r="570" spans="1:34" ht="15.5" x14ac:dyDescent="0.35">
      <c r="A570" s="45" t="s">
        <v>30</v>
      </c>
      <c r="B570" s="45">
        <v>2016</v>
      </c>
      <c r="C570" s="45" t="s">
        <v>65</v>
      </c>
      <c r="D570" s="45" t="s">
        <v>46</v>
      </c>
      <c r="E570" s="55">
        <v>1000</v>
      </c>
      <c r="F570" s="55">
        <v>12000</v>
      </c>
      <c r="G570" s="58"/>
      <c r="H570" s="55"/>
      <c r="I570" s="55">
        <v>500</v>
      </c>
      <c r="J570" s="55"/>
      <c r="K570" s="55"/>
      <c r="L570" s="55"/>
      <c r="M570" s="55"/>
      <c r="N570" s="55"/>
      <c r="O570" s="55"/>
      <c r="P570" s="55">
        <v>700</v>
      </c>
      <c r="Q570" s="55"/>
      <c r="R570" s="55"/>
      <c r="S570" s="55">
        <v>200</v>
      </c>
      <c r="T570" s="55">
        <v>1000</v>
      </c>
      <c r="U570" s="55"/>
      <c r="V570" s="55"/>
      <c r="W570" s="55"/>
      <c r="X570" s="55"/>
      <c r="Y570" s="55">
        <f t="shared" si="80"/>
        <v>13000</v>
      </c>
      <c r="Z570">
        <f t="shared" si="81"/>
        <v>0</v>
      </c>
      <c r="AA570">
        <f t="shared" si="82"/>
        <v>500</v>
      </c>
      <c r="AB570">
        <f t="shared" si="83"/>
        <v>0</v>
      </c>
      <c r="AC570">
        <f t="shared" si="84"/>
        <v>0</v>
      </c>
      <c r="AD570">
        <f t="shared" si="85"/>
        <v>700</v>
      </c>
      <c r="AE570">
        <f t="shared" si="86"/>
        <v>0</v>
      </c>
      <c r="AF570">
        <f t="shared" si="87"/>
        <v>1200</v>
      </c>
      <c r="AG570">
        <f t="shared" si="88"/>
        <v>0</v>
      </c>
      <c r="AH570">
        <f t="shared" si="89"/>
        <v>0</v>
      </c>
    </row>
    <row r="571" spans="1:34" ht="15.5" x14ac:dyDescent="0.35">
      <c r="A571" s="45" t="s">
        <v>30</v>
      </c>
      <c r="B571" s="45">
        <v>2016</v>
      </c>
      <c r="C571" s="45" t="s">
        <v>65</v>
      </c>
      <c r="D571" s="45" t="s">
        <v>46</v>
      </c>
      <c r="E571" s="55"/>
      <c r="F571" s="55"/>
      <c r="G571" s="55"/>
      <c r="H571" s="55"/>
      <c r="I571" s="55"/>
      <c r="J571" s="55"/>
      <c r="K571" s="55"/>
      <c r="L571" s="55"/>
      <c r="M571" s="55"/>
      <c r="N571" s="55">
        <v>50</v>
      </c>
      <c r="O571" s="55"/>
      <c r="P571" s="55"/>
      <c r="Q571" s="55"/>
      <c r="R571" s="55"/>
      <c r="S571" s="55"/>
      <c r="T571" s="56"/>
      <c r="U571" s="55"/>
      <c r="V571" s="55"/>
      <c r="W571" s="55"/>
      <c r="X571" s="55">
        <v>300</v>
      </c>
      <c r="Y571" s="55">
        <f t="shared" si="80"/>
        <v>0</v>
      </c>
      <c r="Z571">
        <f t="shared" si="81"/>
        <v>0</v>
      </c>
      <c r="AA571">
        <f t="shared" si="82"/>
        <v>0</v>
      </c>
      <c r="AB571">
        <f t="shared" si="83"/>
        <v>0</v>
      </c>
      <c r="AC571">
        <f t="shared" si="84"/>
        <v>50</v>
      </c>
      <c r="AD571">
        <f t="shared" si="85"/>
        <v>0</v>
      </c>
      <c r="AE571">
        <f t="shared" si="86"/>
        <v>0</v>
      </c>
      <c r="AF571">
        <f t="shared" si="87"/>
        <v>0</v>
      </c>
      <c r="AG571">
        <f t="shared" si="88"/>
        <v>0</v>
      </c>
      <c r="AH571">
        <f t="shared" si="89"/>
        <v>300</v>
      </c>
    </row>
    <row r="572" spans="1:34" ht="15.5" x14ac:dyDescent="0.35">
      <c r="A572" s="45" t="s">
        <v>30</v>
      </c>
      <c r="B572" s="45">
        <v>2016</v>
      </c>
      <c r="C572" s="45" t="s">
        <v>43</v>
      </c>
      <c r="D572" s="45" t="s">
        <v>139</v>
      </c>
      <c r="E572" s="55"/>
      <c r="F572" s="55"/>
      <c r="G572" s="55">
        <v>10000</v>
      </c>
      <c r="H572" s="55"/>
      <c r="I572" s="55"/>
      <c r="J572" s="55"/>
      <c r="K572" s="55"/>
      <c r="L572" s="55"/>
      <c r="M572" s="55"/>
      <c r="N572" s="55"/>
      <c r="O572" s="56"/>
      <c r="P572" s="55"/>
      <c r="Q572" s="55"/>
      <c r="R572" s="55"/>
      <c r="S572" s="55"/>
      <c r="T572" s="55"/>
      <c r="U572" s="55"/>
      <c r="V572" s="55"/>
      <c r="W572" s="55">
        <v>2500</v>
      </c>
      <c r="X572" s="55"/>
      <c r="Y572" s="55">
        <f t="shared" si="80"/>
        <v>0</v>
      </c>
      <c r="Z572">
        <f t="shared" si="81"/>
        <v>10000</v>
      </c>
      <c r="AA572">
        <f t="shared" si="82"/>
        <v>0</v>
      </c>
      <c r="AB572">
        <f t="shared" si="83"/>
        <v>0</v>
      </c>
      <c r="AC572">
        <f t="shared" si="84"/>
        <v>0</v>
      </c>
      <c r="AD572">
        <f t="shared" si="85"/>
        <v>0</v>
      </c>
      <c r="AE572">
        <f t="shared" si="86"/>
        <v>0</v>
      </c>
      <c r="AF572">
        <f t="shared" si="87"/>
        <v>0</v>
      </c>
      <c r="AG572">
        <f t="shared" si="88"/>
        <v>0</v>
      </c>
      <c r="AH572">
        <f t="shared" si="89"/>
        <v>2500</v>
      </c>
    </row>
    <row r="573" spans="1:34" ht="15.5" x14ac:dyDescent="0.35">
      <c r="A573" s="45" t="s">
        <v>30</v>
      </c>
      <c r="B573" s="45">
        <v>2016</v>
      </c>
      <c r="C573" s="45" t="s">
        <v>43</v>
      </c>
      <c r="D573" s="45" t="s">
        <v>44</v>
      </c>
      <c r="E573" s="55"/>
      <c r="F573" s="57"/>
      <c r="G573" s="55"/>
      <c r="H573" s="59"/>
      <c r="I573" s="55"/>
      <c r="J573" s="55"/>
      <c r="K573" s="55"/>
      <c r="L573" s="60"/>
      <c r="M573" s="55"/>
      <c r="N573" s="55"/>
      <c r="O573" s="55"/>
      <c r="P573" s="55"/>
      <c r="Q573" s="55"/>
      <c r="R573" s="55"/>
      <c r="S573" s="55">
        <v>300</v>
      </c>
      <c r="T573" s="58"/>
      <c r="U573" s="55"/>
      <c r="V573" s="55">
        <v>500</v>
      </c>
      <c r="W573" s="55"/>
      <c r="X573" s="55"/>
      <c r="Y573" s="55">
        <f t="shared" si="80"/>
        <v>0</v>
      </c>
      <c r="Z573">
        <f t="shared" si="81"/>
        <v>0</v>
      </c>
      <c r="AA573">
        <f t="shared" si="82"/>
        <v>0</v>
      </c>
      <c r="AB573">
        <f t="shared" si="83"/>
        <v>0</v>
      </c>
      <c r="AC573">
        <f t="shared" si="84"/>
        <v>0</v>
      </c>
      <c r="AD573">
        <f t="shared" si="85"/>
        <v>0</v>
      </c>
      <c r="AE573">
        <f t="shared" si="86"/>
        <v>0</v>
      </c>
      <c r="AF573">
        <f t="shared" si="87"/>
        <v>300</v>
      </c>
      <c r="AG573">
        <f t="shared" si="88"/>
        <v>500</v>
      </c>
      <c r="AH573">
        <f t="shared" si="89"/>
        <v>0</v>
      </c>
    </row>
    <row r="574" spans="1:34" ht="15.5" x14ac:dyDescent="0.35">
      <c r="A574" s="45" t="s">
        <v>30</v>
      </c>
      <c r="B574" s="45">
        <v>2022</v>
      </c>
      <c r="C574" s="45" t="s">
        <v>65</v>
      </c>
      <c r="D574" s="45" t="s">
        <v>69</v>
      </c>
      <c r="E574" s="55"/>
      <c r="F574" s="55"/>
      <c r="G574" s="55"/>
      <c r="H574" s="55">
        <v>1000</v>
      </c>
      <c r="I574" s="56"/>
      <c r="J574" s="55"/>
      <c r="K574" s="55"/>
      <c r="L574" s="55"/>
      <c r="M574" s="55"/>
      <c r="N574" s="55"/>
      <c r="O574" s="57"/>
      <c r="P574" s="55"/>
      <c r="Q574" s="55"/>
      <c r="R574" s="55">
        <v>2500</v>
      </c>
      <c r="S574" s="55"/>
      <c r="T574" s="55">
        <v>200</v>
      </c>
      <c r="U574" s="55">
        <v>1000</v>
      </c>
      <c r="V574" s="55"/>
      <c r="W574" s="55"/>
      <c r="X574" s="55"/>
      <c r="Y574" s="55">
        <f t="shared" si="80"/>
        <v>0</v>
      </c>
      <c r="Z574">
        <f t="shared" si="81"/>
        <v>1000</v>
      </c>
      <c r="AA574">
        <f t="shared" si="82"/>
        <v>0</v>
      </c>
      <c r="AB574">
        <f t="shared" si="83"/>
        <v>0</v>
      </c>
      <c r="AC574">
        <f t="shared" si="84"/>
        <v>0</v>
      </c>
      <c r="AD574">
        <f t="shared" si="85"/>
        <v>0</v>
      </c>
      <c r="AE574">
        <f t="shared" si="86"/>
        <v>2500</v>
      </c>
      <c r="AF574">
        <f t="shared" si="87"/>
        <v>200</v>
      </c>
      <c r="AG574">
        <f t="shared" si="88"/>
        <v>1000</v>
      </c>
      <c r="AH574">
        <f t="shared" si="89"/>
        <v>0</v>
      </c>
    </row>
    <row r="575" spans="1:34" x14ac:dyDescent="0.35">
      <c r="A575" s="45" t="s">
        <v>30</v>
      </c>
      <c r="B575" s="45">
        <v>2022</v>
      </c>
      <c r="C575" s="45" t="s">
        <v>65</v>
      </c>
      <c r="D575" s="45" t="s">
        <v>140</v>
      </c>
      <c r="E575" s="55"/>
      <c r="F575" s="55"/>
      <c r="G575" s="55">
        <v>500</v>
      </c>
      <c r="H575" s="55"/>
      <c r="I575" s="55"/>
      <c r="J575" s="55"/>
      <c r="K575" s="55"/>
      <c r="L575" s="55"/>
      <c r="M575" s="55"/>
      <c r="N575" s="55">
        <v>10000</v>
      </c>
      <c r="O575" s="55"/>
      <c r="P575" s="55"/>
      <c r="Q575" s="55">
        <v>500</v>
      </c>
      <c r="R575" s="55"/>
      <c r="S575" s="55"/>
      <c r="T575" s="55"/>
      <c r="U575" s="55"/>
      <c r="V575" s="55"/>
      <c r="W575" s="55"/>
      <c r="X575" s="55"/>
      <c r="Y575" s="55">
        <f t="shared" si="80"/>
        <v>0</v>
      </c>
      <c r="Z575">
        <f t="shared" si="81"/>
        <v>500</v>
      </c>
      <c r="AA575">
        <f t="shared" si="82"/>
        <v>0</v>
      </c>
      <c r="AB575">
        <f t="shared" si="83"/>
        <v>0</v>
      </c>
      <c r="AC575">
        <f t="shared" si="84"/>
        <v>10000</v>
      </c>
      <c r="AD575">
        <f t="shared" si="85"/>
        <v>0</v>
      </c>
      <c r="AE575">
        <f t="shared" si="86"/>
        <v>500</v>
      </c>
      <c r="AF575">
        <f t="shared" si="87"/>
        <v>0</v>
      </c>
      <c r="AG575">
        <f t="shared" si="88"/>
        <v>0</v>
      </c>
      <c r="AH575">
        <f t="shared" si="89"/>
        <v>0</v>
      </c>
    </row>
    <row r="576" spans="1:34" ht="15.5" x14ac:dyDescent="0.35">
      <c r="A576" s="45" t="s">
        <v>30</v>
      </c>
      <c r="B576" s="45">
        <v>2022</v>
      </c>
      <c r="C576" s="45" t="s">
        <v>43</v>
      </c>
      <c r="D576" s="45" t="s">
        <v>143</v>
      </c>
      <c r="E576" s="55"/>
      <c r="F576" s="55">
        <v>2500</v>
      </c>
      <c r="G576" s="55"/>
      <c r="H576" s="55"/>
      <c r="I576" s="55">
        <v>12000</v>
      </c>
      <c r="J576" s="55"/>
      <c r="K576" s="55">
        <v>2500</v>
      </c>
      <c r="L576" s="55"/>
      <c r="M576" s="55"/>
      <c r="N576" s="55"/>
      <c r="O576" s="59"/>
      <c r="P576" s="55">
        <v>1000</v>
      </c>
      <c r="Q576" s="55"/>
      <c r="R576" s="55"/>
      <c r="S576" s="55"/>
      <c r="T576" s="55"/>
      <c r="U576" s="55"/>
      <c r="V576" s="55"/>
      <c r="W576" s="55"/>
      <c r="X576" s="55"/>
      <c r="Y576" s="55">
        <f t="shared" si="80"/>
        <v>2500</v>
      </c>
      <c r="Z576">
        <f t="shared" si="81"/>
        <v>0</v>
      </c>
      <c r="AA576">
        <f t="shared" si="82"/>
        <v>12000</v>
      </c>
      <c r="AB576">
        <f t="shared" si="83"/>
        <v>2500</v>
      </c>
      <c r="AC576">
        <f t="shared" si="84"/>
        <v>0</v>
      </c>
      <c r="AD576">
        <f t="shared" si="85"/>
        <v>1000</v>
      </c>
      <c r="AE576">
        <f t="shared" si="86"/>
        <v>0</v>
      </c>
      <c r="AF576">
        <f t="shared" si="87"/>
        <v>0</v>
      </c>
      <c r="AG576">
        <f t="shared" si="88"/>
        <v>0</v>
      </c>
      <c r="AH576">
        <f t="shared" si="89"/>
        <v>0</v>
      </c>
    </row>
    <row r="577" spans="1:34" ht="15.5" x14ac:dyDescent="0.35">
      <c r="A577" s="45" t="s">
        <v>30</v>
      </c>
      <c r="B577" s="45">
        <v>2022</v>
      </c>
      <c r="C577" s="45" t="s">
        <v>43</v>
      </c>
      <c r="D577" s="45" t="s">
        <v>54</v>
      </c>
      <c r="E577" s="55">
        <v>300</v>
      </c>
      <c r="F577" s="55"/>
      <c r="G577" s="55"/>
      <c r="H577" s="55"/>
      <c r="I577" s="55">
        <v>2500</v>
      </c>
      <c r="J577" s="55">
        <v>500</v>
      </c>
      <c r="K577" s="55"/>
      <c r="L577" s="55"/>
      <c r="M577" s="55"/>
      <c r="N577" s="55"/>
      <c r="O577" s="55">
        <v>50</v>
      </c>
      <c r="P577" s="55"/>
      <c r="Q577" s="55"/>
      <c r="R577" s="55"/>
      <c r="S577" s="55"/>
      <c r="T577" s="55"/>
      <c r="U577" s="55"/>
      <c r="V577" s="55"/>
      <c r="W577" s="55"/>
      <c r="X577" s="56"/>
      <c r="Y577" s="55">
        <f t="shared" si="80"/>
        <v>300</v>
      </c>
      <c r="Z577">
        <f t="shared" si="81"/>
        <v>0</v>
      </c>
      <c r="AA577">
        <f t="shared" si="82"/>
        <v>3000</v>
      </c>
      <c r="AB577">
        <f t="shared" si="83"/>
        <v>0</v>
      </c>
      <c r="AC577">
        <f t="shared" si="84"/>
        <v>0</v>
      </c>
      <c r="AD577">
        <f t="shared" si="85"/>
        <v>50</v>
      </c>
      <c r="AE577">
        <f t="shared" si="86"/>
        <v>0</v>
      </c>
      <c r="AF577">
        <f t="shared" si="87"/>
        <v>0</v>
      </c>
      <c r="AG577">
        <f t="shared" si="88"/>
        <v>0</v>
      </c>
      <c r="AH577">
        <f t="shared" si="89"/>
        <v>0</v>
      </c>
    </row>
    <row r="578" spans="1:34" x14ac:dyDescent="0.35">
      <c r="A578" s="45" t="s">
        <v>30</v>
      </c>
      <c r="B578" s="45">
        <v>2022</v>
      </c>
      <c r="C578" s="45" t="s">
        <v>65</v>
      </c>
      <c r="D578" s="45" t="s">
        <v>142</v>
      </c>
      <c r="E578" s="55"/>
      <c r="F578" s="55"/>
      <c r="G578" s="55"/>
      <c r="H578" s="55"/>
      <c r="I578" s="55"/>
      <c r="J578" s="55"/>
      <c r="K578" s="55"/>
      <c r="L578" s="55"/>
      <c r="M578" s="55"/>
      <c r="N578" s="55"/>
      <c r="O578" s="55"/>
      <c r="P578" s="55"/>
      <c r="Q578" s="55"/>
      <c r="R578" s="55"/>
      <c r="S578" s="55"/>
      <c r="T578" s="55"/>
      <c r="U578" s="55"/>
      <c r="V578" s="55"/>
      <c r="W578" s="55"/>
      <c r="X578" s="55">
        <v>150</v>
      </c>
      <c r="Y578" s="55">
        <f t="shared" si="80"/>
        <v>0</v>
      </c>
      <c r="Z578">
        <f t="shared" si="81"/>
        <v>0</v>
      </c>
      <c r="AA578">
        <f t="shared" si="82"/>
        <v>0</v>
      </c>
      <c r="AB578">
        <f t="shared" si="83"/>
        <v>0</v>
      </c>
      <c r="AC578">
        <f t="shared" si="84"/>
        <v>0</v>
      </c>
      <c r="AD578">
        <f t="shared" si="85"/>
        <v>0</v>
      </c>
      <c r="AE578">
        <f t="shared" si="86"/>
        <v>0</v>
      </c>
      <c r="AF578">
        <f t="shared" si="87"/>
        <v>0</v>
      </c>
      <c r="AG578">
        <f t="shared" si="88"/>
        <v>0</v>
      </c>
      <c r="AH578">
        <f t="shared" si="89"/>
        <v>150</v>
      </c>
    </row>
    <row r="579" spans="1:34" ht="15.5" x14ac:dyDescent="0.35">
      <c r="A579" s="45" t="s">
        <v>30</v>
      </c>
      <c r="B579" s="45">
        <v>2022</v>
      </c>
      <c r="C579" s="45" t="s">
        <v>65</v>
      </c>
      <c r="D579" s="45" t="s">
        <v>44</v>
      </c>
      <c r="E579" s="55"/>
      <c r="F579" s="55"/>
      <c r="G579" s="55">
        <v>2500</v>
      </c>
      <c r="H579" s="55"/>
      <c r="I579" s="55"/>
      <c r="J579" s="55"/>
      <c r="K579" s="55"/>
      <c r="L579" s="55"/>
      <c r="M579" s="55"/>
      <c r="N579" s="55"/>
      <c r="O579" s="59"/>
      <c r="P579" s="55"/>
      <c r="Q579" s="55"/>
      <c r="R579" s="55"/>
      <c r="S579" s="55"/>
      <c r="T579" s="55"/>
      <c r="U579" s="55"/>
      <c r="V579" s="55"/>
      <c r="W579" s="55"/>
      <c r="X579" s="55"/>
      <c r="Y579" s="55">
        <f t="shared" si="80"/>
        <v>0</v>
      </c>
      <c r="Z579">
        <f t="shared" si="81"/>
        <v>2500</v>
      </c>
      <c r="AA579">
        <f t="shared" si="82"/>
        <v>0</v>
      </c>
      <c r="AB579">
        <f t="shared" si="83"/>
        <v>0</v>
      </c>
      <c r="AC579">
        <f t="shared" si="84"/>
        <v>0</v>
      </c>
      <c r="AD579">
        <f t="shared" si="85"/>
        <v>0</v>
      </c>
      <c r="AE579">
        <f t="shared" si="86"/>
        <v>0</v>
      </c>
      <c r="AF579">
        <f t="shared" si="87"/>
        <v>0</v>
      </c>
      <c r="AG579">
        <f t="shared" si="88"/>
        <v>0</v>
      </c>
      <c r="AH579">
        <f t="shared" si="89"/>
        <v>0</v>
      </c>
    </row>
    <row r="580" spans="1:34" ht="15.5" x14ac:dyDescent="0.35">
      <c r="A580" s="45"/>
      <c r="B580" s="45"/>
      <c r="C580" s="45"/>
      <c r="D580" s="45"/>
      <c r="E580" s="55"/>
      <c r="F580" s="55"/>
      <c r="G580" s="55"/>
      <c r="H580" s="55"/>
      <c r="I580" s="55"/>
      <c r="J580" s="55"/>
      <c r="K580" s="55"/>
      <c r="L580" s="55"/>
      <c r="M580" s="55"/>
      <c r="N580" s="55"/>
      <c r="O580" s="55"/>
      <c r="P580" s="55"/>
      <c r="Q580" s="55"/>
      <c r="R580" s="55"/>
      <c r="S580" s="55"/>
      <c r="T580" s="55"/>
      <c r="U580" s="55"/>
      <c r="V580" s="56"/>
      <c r="W580" s="55"/>
      <c r="X580" s="55"/>
      <c r="Y580" s="55"/>
    </row>
    <row r="581" spans="1:34" ht="15.5" x14ac:dyDescent="0.35">
      <c r="A581" s="45"/>
      <c r="B581" s="45"/>
      <c r="C581" s="45"/>
      <c r="D581" s="45"/>
      <c r="E581" s="55"/>
      <c r="F581" s="55"/>
      <c r="G581" s="55"/>
      <c r="H581" s="55"/>
      <c r="I581" s="55"/>
      <c r="J581" s="55"/>
      <c r="K581" s="55"/>
      <c r="L581" s="55"/>
      <c r="M581" s="55"/>
      <c r="N581" s="59"/>
      <c r="O581" s="55"/>
      <c r="P581" s="55"/>
      <c r="Q581" s="55"/>
      <c r="R581" s="55"/>
      <c r="S581" s="55"/>
      <c r="T581" s="55"/>
      <c r="U581" s="55"/>
      <c r="V581" s="55"/>
      <c r="W581" s="55"/>
      <c r="X581" s="55"/>
      <c r="Y581" s="55"/>
    </row>
    <row r="582" spans="1:34" ht="15.5" x14ac:dyDescent="0.35">
      <c r="A582" s="45"/>
      <c r="B582" s="45"/>
      <c r="C582" s="45"/>
      <c r="D582" s="45"/>
      <c r="E582" s="55"/>
      <c r="F582" s="55"/>
      <c r="G582" s="55"/>
      <c r="H582" s="55"/>
      <c r="I582" s="55"/>
      <c r="J582" s="55"/>
      <c r="K582" s="55"/>
      <c r="L582" s="55"/>
      <c r="M582" s="55"/>
      <c r="N582" s="55"/>
      <c r="O582" s="55"/>
      <c r="P582" s="55"/>
      <c r="Q582" s="55"/>
      <c r="R582" s="55"/>
      <c r="S582" s="55"/>
      <c r="T582" s="55"/>
      <c r="U582" s="55"/>
      <c r="V582" s="57"/>
      <c r="W582" s="55"/>
      <c r="X582" s="55"/>
      <c r="Y582" s="55"/>
    </row>
    <row r="583" spans="1:34" x14ac:dyDescent="0.35">
      <c r="A583" s="45"/>
      <c r="B583" s="45"/>
      <c r="C583" s="45"/>
      <c r="D583" s="45"/>
      <c r="E583" s="55"/>
      <c r="F583" s="55"/>
      <c r="G583" s="55"/>
      <c r="H583" s="55"/>
      <c r="I583" s="55"/>
      <c r="J583" s="55"/>
      <c r="K583" s="55"/>
      <c r="L583" s="55"/>
      <c r="M583" s="55"/>
      <c r="N583" s="55"/>
      <c r="O583" s="55"/>
      <c r="P583" s="55"/>
      <c r="Q583" s="55"/>
      <c r="R583" s="55"/>
      <c r="S583" s="55"/>
      <c r="T583" s="55"/>
      <c r="U583" s="55"/>
      <c r="V583" s="55"/>
      <c r="W583" s="55"/>
      <c r="X583" s="55"/>
      <c r="Y583" s="55"/>
    </row>
    <row r="584" spans="1:34" ht="15.5" x14ac:dyDescent="0.35">
      <c r="A584" s="45"/>
      <c r="B584" s="45"/>
      <c r="C584" s="45"/>
      <c r="D584" s="45"/>
      <c r="E584" s="55"/>
      <c r="F584" s="55"/>
      <c r="G584" s="55"/>
      <c r="H584" s="55"/>
      <c r="I584" s="55"/>
      <c r="J584" s="55"/>
      <c r="K584" s="55"/>
      <c r="L584" s="55"/>
      <c r="M584" s="55"/>
      <c r="N584" s="55"/>
      <c r="O584" s="55"/>
      <c r="P584" s="55"/>
      <c r="Q584" s="55"/>
      <c r="R584" s="55"/>
      <c r="S584" s="55"/>
      <c r="T584" s="55"/>
      <c r="U584" s="55"/>
      <c r="V584" s="59"/>
      <c r="W584" s="55"/>
      <c r="X584" s="55"/>
      <c r="Y584" s="55"/>
    </row>
    <row r="585" spans="1:34" ht="15.5" x14ac:dyDescent="0.35">
      <c r="A585" s="45"/>
      <c r="B585" s="45"/>
      <c r="C585" s="45"/>
      <c r="D585" s="45"/>
      <c r="E585" s="55"/>
      <c r="F585" s="55"/>
      <c r="G585" s="61"/>
      <c r="H585" s="55"/>
      <c r="I585" s="55"/>
      <c r="J585" s="55"/>
      <c r="K585" s="55"/>
      <c r="L585" s="55"/>
      <c r="M585" s="55"/>
      <c r="N585" s="56"/>
      <c r="O585" s="55"/>
      <c r="P585" s="55"/>
      <c r="Q585" s="55"/>
      <c r="R585" s="55"/>
      <c r="S585" s="55"/>
      <c r="T585" s="55"/>
      <c r="U585" s="55"/>
      <c r="V585" s="55"/>
      <c r="W585" s="55"/>
      <c r="X585" s="55"/>
      <c r="Y585" s="55"/>
    </row>
    <row r="586" spans="1:34" ht="15.5" x14ac:dyDescent="0.35">
      <c r="A586" s="45"/>
      <c r="B586" s="45"/>
      <c r="C586" s="45"/>
      <c r="D586" s="45"/>
      <c r="E586" s="55"/>
      <c r="F586" s="55"/>
      <c r="G586" s="55"/>
      <c r="H586" s="55"/>
      <c r="I586" s="55"/>
      <c r="J586" s="55"/>
      <c r="K586" s="55"/>
      <c r="L586" s="55"/>
      <c r="M586" s="55"/>
      <c r="N586" s="55"/>
      <c r="O586" s="55"/>
      <c r="P586" s="55"/>
      <c r="Q586" s="55"/>
      <c r="R586" s="55"/>
      <c r="S586" s="55"/>
      <c r="T586" s="55"/>
      <c r="U586" s="55"/>
      <c r="V586" s="55"/>
      <c r="W586" s="56"/>
      <c r="X586" s="55"/>
      <c r="Y586" s="55"/>
    </row>
    <row r="587" spans="1:34" ht="15.5" x14ac:dyDescent="0.35">
      <c r="A587" s="45"/>
      <c r="B587" s="45"/>
      <c r="C587" s="45"/>
      <c r="D587" s="45"/>
      <c r="E587" s="55"/>
      <c r="F587" s="55"/>
      <c r="G587" s="55"/>
      <c r="H587" s="61"/>
      <c r="I587" s="55"/>
      <c r="J587" s="55"/>
      <c r="K587" s="55"/>
      <c r="L587" s="55"/>
      <c r="M587" s="55"/>
      <c r="N587" s="55"/>
      <c r="O587" s="55"/>
      <c r="P587" s="55"/>
      <c r="Q587" s="55"/>
      <c r="R587" s="55"/>
      <c r="S587" s="55"/>
      <c r="T587" s="60"/>
      <c r="U587" s="55"/>
      <c r="V587" s="55"/>
      <c r="W587" s="55"/>
      <c r="X587" s="55"/>
      <c r="Y587" s="55"/>
    </row>
    <row r="588" spans="1:34" ht="15.5" x14ac:dyDescent="0.35">
      <c r="A588" s="45"/>
      <c r="B588" s="45"/>
      <c r="C588" s="45"/>
      <c r="D588" s="45"/>
      <c r="E588" s="55"/>
      <c r="F588" s="55"/>
      <c r="G588" s="55"/>
      <c r="H588" s="55"/>
      <c r="I588" s="55"/>
      <c r="J588" s="56"/>
      <c r="K588" s="55"/>
      <c r="L588" s="55"/>
      <c r="M588" s="55"/>
      <c r="N588" s="55"/>
      <c r="O588" s="55"/>
      <c r="P588" s="55"/>
      <c r="Q588" s="55"/>
      <c r="R588" s="55"/>
      <c r="S588" s="55"/>
      <c r="T588" s="55"/>
      <c r="U588" s="55"/>
      <c r="V588" s="55"/>
      <c r="W588" s="55"/>
      <c r="X588" s="55"/>
      <c r="Y588" s="55"/>
    </row>
    <row r="589" spans="1:34" x14ac:dyDescent="0.35">
      <c r="A589" s="45"/>
      <c r="B589" s="45"/>
      <c r="C589" s="45"/>
      <c r="D589" s="45"/>
      <c r="E589" s="55"/>
      <c r="F589" s="55"/>
      <c r="G589" s="55"/>
      <c r="H589" s="55"/>
      <c r="I589" s="55"/>
      <c r="J589" s="55"/>
      <c r="K589" s="55"/>
      <c r="L589" s="55"/>
      <c r="M589" s="55"/>
      <c r="N589" s="55"/>
      <c r="O589" s="55"/>
      <c r="P589" s="55"/>
      <c r="Q589" s="55"/>
      <c r="R589" s="55"/>
      <c r="S589" s="55"/>
      <c r="T589" s="55"/>
      <c r="U589" s="55"/>
      <c r="V589" s="55"/>
      <c r="W589" s="55"/>
      <c r="X589" s="55"/>
      <c r="Y589" s="55"/>
    </row>
    <row r="590" spans="1:34" ht="15.5" x14ac:dyDescent="0.35">
      <c r="A590" s="45"/>
      <c r="B590" s="45"/>
      <c r="C590" s="45"/>
      <c r="D590" s="45"/>
      <c r="E590" s="55"/>
      <c r="F590" s="55"/>
      <c r="G590" s="55"/>
      <c r="H590" s="55"/>
      <c r="I590" s="55"/>
      <c r="J590" s="57"/>
      <c r="K590" s="55"/>
      <c r="L590" s="55"/>
      <c r="M590" s="55"/>
      <c r="N590" s="55"/>
      <c r="O590" s="55"/>
      <c r="P590" s="55"/>
      <c r="Q590" s="55"/>
      <c r="R590" s="55"/>
      <c r="S590" s="55"/>
      <c r="T590" s="55"/>
      <c r="U590" s="55"/>
      <c r="V590" s="56"/>
      <c r="W590" s="55"/>
      <c r="X590" s="55"/>
      <c r="Y590" s="55"/>
    </row>
    <row r="591" spans="1:34" x14ac:dyDescent="0.35">
      <c r="A591" s="45"/>
      <c r="B591" s="45"/>
      <c r="C591" s="45"/>
      <c r="D591" s="45"/>
      <c r="E591" s="55"/>
      <c r="F591" s="55"/>
      <c r="G591" s="55"/>
      <c r="H591" s="55"/>
      <c r="I591" s="55"/>
      <c r="J591" s="55"/>
      <c r="K591" s="55"/>
      <c r="L591" s="55"/>
      <c r="M591" s="55"/>
      <c r="N591" s="55"/>
      <c r="O591" s="55"/>
      <c r="P591" s="55"/>
      <c r="Q591" s="55"/>
      <c r="R591" s="55"/>
      <c r="S591" s="55"/>
      <c r="T591" s="55"/>
      <c r="U591" s="55"/>
      <c r="V591" s="55"/>
      <c r="W591" s="55"/>
      <c r="X591" s="55"/>
      <c r="Y591" s="55"/>
    </row>
    <row r="592" spans="1:34" x14ac:dyDescent="0.35">
      <c r="A592" s="45"/>
      <c r="B592" s="45"/>
      <c r="C592" s="45"/>
      <c r="D592" s="45"/>
      <c r="E592" s="55"/>
      <c r="F592" s="55"/>
      <c r="G592" s="55"/>
      <c r="H592" s="55"/>
      <c r="I592" s="55"/>
      <c r="J592" s="55"/>
      <c r="K592" s="55"/>
      <c r="L592" s="55"/>
      <c r="M592" s="55"/>
      <c r="N592" s="55"/>
      <c r="O592" s="55"/>
      <c r="P592" s="55"/>
      <c r="Q592" s="55"/>
      <c r="R592" s="55"/>
      <c r="S592" s="55"/>
      <c r="T592" s="55"/>
      <c r="U592" s="55"/>
      <c r="V592" s="55"/>
      <c r="W592" s="55"/>
      <c r="X592" s="55"/>
      <c r="Y592" s="55"/>
    </row>
    <row r="593" spans="1:25" x14ac:dyDescent="0.35">
      <c r="A593" s="45"/>
      <c r="B593" s="45"/>
      <c r="C593" s="45"/>
      <c r="D593" s="45"/>
      <c r="E593" s="55"/>
      <c r="F593" s="55"/>
      <c r="G593" s="55"/>
      <c r="H593" s="55"/>
      <c r="I593" s="55"/>
      <c r="J593" s="55"/>
      <c r="K593" s="55"/>
      <c r="L593" s="55"/>
      <c r="M593" s="55"/>
      <c r="N593" s="55"/>
      <c r="O593" s="55"/>
      <c r="P593" s="55"/>
      <c r="Q593" s="55"/>
      <c r="R593" s="55"/>
      <c r="S593" s="55"/>
      <c r="T593" s="55"/>
      <c r="U593" s="55"/>
      <c r="V593" s="55"/>
      <c r="W593" s="55"/>
      <c r="X593" s="55"/>
      <c r="Y593" s="55"/>
    </row>
    <row r="594" spans="1:25" x14ac:dyDescent="0.35">
      <c r="A594" s="45"/>
      <c r="B594" s="45"/>
      <c r="C594" s="45"/>
      <c r="D594" s="45"/>
      <c r="E594" s="55"/>
      <c r="F594" s="55"/>
      <c r="G594" s="55"/>
      <c r="H594" s="55"/>
      <c r="I594" s="55"/>
      <c r="J594" s="55"/>
      <c r="K594" s="55"/>
      <c r="L594" s="55"/>
      <c r="M594" s="55"/>
      <c r="N594" s="55"/>
      <c r="O594" s="55"/>
      <c r="P594" s="55"/>
      <c r="Q594" s="55"/>
      <c r="R594" s="55"/>
      <c r="S594" s="55"/>
      <c r="T594" s="55"/>
      <c r="U594" s="55"/>
      <c r="V594" s="55"/>
      <c r="W594" s="55"/>
      <c r="X594" s="55"/>
      <c r="Y594" s="55"/>
    </row>
    <row r="595" spans="1:25" x14ac:dyDescent="0.35">
      <c r="E595" s="62"/>
      <c r="F595" s="62"/>
      <c r="G595" s="62"/>
      <c r="H595" s="62"/>
      <c r="I595" s="62"/>
      <c r="J595" s="62"/>
      <c r="K595" s="62"/>
      <c r="L595" s="62"/>
      <c r="M595" s="62"/>
      <c r="N595" s="62"/>
      <c r="O595" s="62"/>
      <c r="P595" s="62"/>
      <c r="Q595" s="62"/>
      <c r="R595" s="62"/>
      <c r="S595" s="62"/>
      <c r="T595" s="62"/>
      <c r="U595" s="62"/>
      <c r="V595" s="62"/>
      <c r="W595" s="62"/>
      <c r="X595" s="62"/>
      <c r="Y595" s="62"/>
    </row>
    <row r="596" spans="1:25" x14ac:dyDescent="0.35">
      <c r="E596" s="62"/>
      <c r="F596" s="62"/>
      <c r="G596" s="62"/>
      <c r="H596" s="62"/>
      <c r="I596" s="62"/>
      <c r="J596" s="62"/>
      <c r="K596" s="62"/>
      <c r="L596" s="62"/>
      <c r="M596" s="62"/>
      <c r="N596" s="62"/>
      <c r="O596" s="62"/>
      <c r="P596" s="62"/>
      <c r="Q596" s="62"/>
      <c r="R596" s="62"/>
      <c r="S596" s="62"/>
      <c r="T596" s="62"/>
      <c r="U596" s="62"/>
      <c r="V596" s="62"/>
      <c r="W596" s="62"/>
      <c r="X596" s="62"/>
      <c r="Y596" s="62"/>
    </row>
  </sheetData>
  <mergeCells count="13">
    <mergeCell ref="Q2:R2"/>
    <mergeCell ref="S2:T2"/>
    <mergeCell ref="U2:V2"/>
    <mergeCell ref="W2:X2"/>
    <mergeCell ref="A2:A3"/>
    <mergeCell ref="B2:B3"/>
    <mergeCell ref="C2:C3"/>
    <mergeCell ref="E2:F2"/>
    <mergeCell ref="G2:H2"/>
    <mergeCell ref="I2:J2"/>
    <mergeCell ref="K2:L2"/>
    <mergeCell ref="M2:N2"/>
    <mergeCell ref="O2:P2"/>
  </mergeCells>
  <phoneticPr fontId="12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3" r:id="rId4" name="Button 15">
              <controlPr defaultSize="0" print="0" autoFill="0" autoPict="0" macro="[0]!drag">
                <anchor moveWithCells="1" sizeWithCells="1">
                  <from>
                    <xdr:col>36</xdr:col>
                    <xdr:colOff>19050</xdr:colOff>
                    <xdr:row>4</xdr:row>
                    <xdr:rowOff>0</xdr:rowOff>
                  </from>
                  <to>
                    <xdr:col>37</xdr:col>
                    <xdr:colOff>285750</xdr:colOff>
                    <xdr:row>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800F-1BC3-4D57-824A-3B5DF9C14480}">
  <sheetPr codeName="Sheet2"/>
  <dimension ref="A1:Y126"/>
  <sheetViews>
    <sheetView topLeftCell="K1" zoomScale="80" zoomScaleNormal="130" workbookViewId="0">
      <selection activeCell="R4" sqref="R4"/>
    </sheetView>
  </sheetViews>
  <sheetFormatPr defaultRowHeight="14.5" x14ac:dyDescent="0.35"/>
  <cols>
    <col min="1" max="1" width="13.81640625" bestFit="1" customWidth="1"/>
    <col min="2" max="2" width="10.1796875" bestFit="1" customWidth="1"/>
    <col min="3" max="3" width="11.81640625" customWidth="1"/>
    <col min="4" max="4" width="9.26953125" bestFit="1" customWidth="1"/>
    <col min="5" max="6" width="11.26953125" bestFit="1" customWidth="1"/>
    <col min="7" max="11" width="9.26953125" bestFit="1" customWidth="1"/>
    <col min="13" max="13" width="11.26953125" bestFit="1" customWidth="1"/>
    <col min="14" max="14" width="14.81640625" customWidth="1"/>
    <col min="15" max="15" width="12.1796875" customWidth="1"/>
    <col min="18" max="18" width="16.26953125" customWidth="1"/>
    <col min="20" max="20" width="15.54296875" bestFit="1" customWidth="1"/>
  </cols>
  <sheetData>
    <row r="1" spans="1:20" x14ac:dyDescent="0.35">
      <c r="B1" t="s">
        <v>0</v>
      </c>
      <c r="C1" t="str">
        <f ca="1">"Date :"&amp;" "&amp;TEXT(TODAY(),"DD MMMM YYYY")</f>
        <v>Date : 07 February 2024</v>
      </c>
    </row>
    <row r="2" spans="1:20" x14ac:dyDescent="0.35">
      <c r="N2" s="34" t="s">
        <v>3</v>
      </c>
    </row>
    <row r="3" spans="1:20" x14ac:dyDescent="0.35">
      <c r="A3" s="43" t="s">
        <v>1</v>
      </c>
      <c r="B3" s="43"/>
      <c r="C3" s="43"/>
      <c r="D3" s="43"/>
      <c r="E3" s="43"/>
      <c r="F3" s="43"/>
      <c r="G3" s="43"/>
      <c r="N3" t="s">
        <v>130</v>
      </c>
      <c r="O3" t="s">
        <v>45</v>
      </c>
      <c r="R3" s="9" t="s">
        <v>88</v>
      </c>
    </row>
    <row r="4" spans="1:20" x14ac:dyDescent="0.35">
      <c r="A4" s="2" t="s">
        <v>3</v>
      </c>
      <c r="B4" t="str">
        <f>R8</f>
        <v>PT SBI</v>
      </c>
      <c r="C4" s="2" t="s">
        <v>4</v>
      </c>
      <c r="D4" t="str">
        <f>R4</f>
        <v>Nasional</v>
      </c>
      <c r="R4" t="s">
        <v>128</v>
      </c>
    </row>
    <row r="5" spans="1:20" x14ac:dyDescent="0.35">
      <c r="A5" t="s">
        <v>2</v>
      </c>
      <c r="B5" t="s">
        <v>32</v>
      </c>
      <c r="C5" t="s">
        <v>135</v>
      </c>
      <c r="D5" t="s">
        <v>133</v>
      </c>
      <c r="E5" t="s">
        <v>134</v>
      </c>
      <c r="F5" t="s">
        <v>33</v>
      </c>
      <c r="G5" t="s">
        <v>34</v>
      </c>
      <c r="H5" t="s">
        <v>136</v>
      </c>
      <c r="I5" t="s">
        <v>74</v>
      </c>
      <c r="J5" t="s">
        <v>137</v>
      </c>
      <c r="K5" t="s">
        <v>138</v>
      </c>
      <c r="M5" s="18" t="str">
        <f>$N$3</f>
        <v>NASIONAL</v>
      </c>
      <c r="N5" s="18" t="str">
        <f>PT</f>
        <v>PT SBI</v>
      </c>
      <c r="R5" s="9" t="s">
        <v>2</v>
      </c>
      <c r="T5" t="s">
        <v>129</v>
      </c>
    </row>
    <row r="6" spans="1:20" x14ac:dyDescent="0.35">
      <c r="A6">
        <v>2016</v>
      </c>
      <c r="B6" s="36">
        <f>IF($D$4="nasional",SUMIFS(Database!Y4:Y599981,Database!$B$4:$B$599981,Sheet2!A6),SUMIFS(Database!Y4:Y599981,Database!$B$4:$B$599981,Sheet2!$A6,Database!$C$4:$C$599981,Sheet2!$D$4))</f>
        <v>86433</v>
      </c>
      <c r="C6" s="36">
        <f>IF($D$4="nasional",SUMIFS(Database!$Z$4:$Z$599981,Database!$B$4:$B$599981,Sheet2!$A6),SUMIFS(Database!$Z$4:$Z$599981,Database!$B$4:$B$599981,Sheet2!$A6,Database!$C$4:$C$599981,Sheet2!$D$4))</f>
        <v>32100</v>
      </c>
      <c r="D6" s="36">
        <f>IF($D$4="nasional",SUMIFS(Database!$AA$4:$AA$599981,Database!$B$4:$B$599981,Sheet2!$A6),SUMIFS(Database!$AA$4:$AA$599981,Database!$B$4:$B$599981,Sheet2!$A6,Database!$C$4:$C$599981,Sheet2!$D$4))</f>
        <v>48158</v>
      </c>
      <c r="E6" s="36">
        <f>IF($D$4="nasional",SUMIFS(Database!$AB$4:$AB$599981,Database!$B$4:$B$599981,Sheet2!$A6),SUMIFS(Database!$AB$4:$AB$599981,Database!$B$4:$B$599981,Sheet2!$A6,Database!$C$4:$C$599981,Sheet2!$D$4))</f>
        <v>107841.78200000001</v>
      </c>
      <c r="F6" s="36">
        <f>IF($D$4="nasional",SUMIFS(Database!$AC$4:$AC$599981,Database!$B$4:$B$599981,Sheet2!$A6),SUMIFS(Database!$AC$4:$AC$599981,Database!$B$4:$B$599981,Sheet2!$A6,Database!$C$4:$C$599981,Sheet2!$D$4))</f>
        <v>150000</v>
      </c>
      <c r="G6" s="36">
        <f>IF($D$4="nasional",SUMIFS(Database!$AD$4:$AD$599981,Database!$B$4:$B$599981,Sheet2!$A6),SUMIFS(Database!$AD$4:$AD$599981,Database!$B$4:$B$599981,Sheet2!$A6,Database!$C$4:$C$599981,Sheet2!$D$4))</f>
        <v>26800</v>
      </c>
      <c r="H6" s="36">
        <f>IF($D$4="nasional",SUMIFS(Database!$AE$4:$AE$599981,Database!$B$4:$B$599981,Sheet2!$A6),SUMIFS(Database!$AE$4:$AE$599981,Database!$B$4:$B$599981,Sheet2!$A6,Database!$C$4:$C$599981,Sheet2!$D$4))</f>
        <v>31226</v>
      </c>
      <c r="I6" s="36">
        <f>IF($D$4="nasional",SUMIFS(Database!$AF$4:$AF$599981,Database!$B$4:$B$599981,Sheet2!$A6),SUMIFS(Database!$AF$4:$AF$599981,Database!$B$4:$B$599981,Sheet2!$A6,Database!$C$4:$C$599981,Sheet2!$D$4))</f>
        <v>94326.563999999998</v>
      </c>
      <c r="J6" s="36">
        <f>IF($D$4="nasional",SUMIFS(Database!$AG$4:$AG$599981,Database!$B$4:$B$599981,Sheet2!$A6),SUMIFS(Database!$AG$4:$AG$599981,Database!$B$4:$B$599981,Sheet2!$A6,Database!$C$4:$C$599981,Sheet2!$D$4))</f>
        <v>14006</v>
      </c>
      <c r="K6" s="36">
        <f>IF($D$4="nasional",SUMIFS(Database!$AH$4:$AH$599981,Database!$B$4:$B$599981,Sheet2!$A6),SUMIFS(Database!$AH$4:$AH$599981,Database!$B$4:$B$599981,Sheet2!$A6,Database!$C$4:$C$599981,Sheet2!$D$4))</f>
        <v>18958</v>
      </c>
      <c r="M6" s="36">
        <f>IF($M$5="Nasional",SUM(B6:K6),SUMIF($B$5:$K$5,$M$5,B6))</f>
        <v>609849.34600000002</v>
      </c>
      <c r="N6" s="36">
        <f ca="1">IF($N$5="Nasional",SUM(B6:K6),SUMIF($B$5:$K$5,$N$5,A6))</f>
        <v>107841.78200000001</v>
      </c>
      <c r="R6" t="s">
        <v>144</v>
      </c>
      <c r="T6">
        <f>MAX(A6:A14)</f>
        <v>2022</v>
      </c>
    </row>
    <row r="7" spans="1:20" x14ac:dyDescent="0.35">
      <c r="A7">
        <v>2017</v>
      </c>
      <c r="B7" s="36">
        <f>IF($D$4="nasional",SUMIFS(Database!$Y$4:$Y$599981,Database!$B$4:$B$599981,Sheet2!A7),SUMIFS(Database!$Y$4:$Y$599981,Database!$B$4:$B$599981,Sheet2!A7,Database!$C$4:$C$599981,Sheet2!$D$4))</f>
        <v>71735</v>
      </c>
      <c r="C7" s="36">
        <f>IF($D$4="nasional",SUMIFS(Database!$Z$4:$Z$599981,Database!$B$4:$B$599981,Sheet2!$A7),SUMIFS(Database!$Z$4:$Z$599981,Database!$B$4:$B$599981,Sheet2!$A7,Database!$C$4:$C$599981,Sheet2!$D$4))</f>
        <v>45550</v>
      </c>
      <c r="D7" s="36">
        <f>IF($D$4="nasional",SUMIFS(Database!$AA$4:$AA$599981,Database!$B$4:$B$599981,Sheet2!$A7),SUMIFS(Database!$AA$4:$AA$599981,Database!$B$4:$B$599981,Sheet2!$A7,Database!$C$4:$C$599981,Sheet2!$D$4))</f>
        <v>39240</v>
      </c>
      <c r="E7" s="36">
        <f>IF($D$4="nasional",SUMIFS(Database!$AB$4:$AB$599981,Database!$B$4:$B$599981,Sheet2!$A7),SUMIFS(Database!$AB$4:$AB$599981,Database!$B$4:$B$599981,Sheet2!$A7,Database!$C$4:$C$599981,Sheet2!$D$4))</f>
        <v>52189.781999999999</v>
      </c>
      <c r="F7" s="36">
        <f>IF($D$4="nasional",SUMIFS(Database!$AC$4:$AC$599981,Database!$B$4:$B$599981,Sheet2!$A7),SUMIFS(Database!$AC$4:$AC$599981,Database!$B$4:$B$599981,Sheet2!$A7,Database!$C$4:$C$599981,Sheet2!$D$4))</f>
        <v>67835</v>
      </c>
      <c r="G7" s="36">
        <f>IF($D$4="nasional",SUMIFS(Database!$AD$4:$AD$599981,Database!$B$4:$B$599981,Sheet2!$A7),SUMIFS(Database!$AD$4:$AD$599981,Database!$B$4:$B$599981,Sheet2!$A7,Database!$C$4:$C$599981,Sheet2!$D$4))</f>
        <v>31525</v>
      </c>
      <c r="H7" s="36">
        <f>IF($D$4="nasional",SUMIFS(Database!$AE$4:$AE$599981,Database!$B$4:$B$599981,Sheet2!$A7),SUMIFS(Database!$AE$4:$AE$599981,Database!$B$4:$B$599981,Sheet2!$A7,Database!$C$4:$C$599981,Sheet2!$D$4))</f>
        <v>21078</v>
      </c>
      <c r="I7" s="36">
        <f>IF($D$4="nasional",SUMIFS(Database!$AF$4:$AF$599981,Database!$B$4:$B$599981,Sheet2!$A7),SUMIFS(Database!$AF$4:$AF$599981,Database!$B$4:$B$599981,Sheet2!$A7,Database!$C$4:$C$599981,Sheet2!$D$4))</f>
        <v>62706.781999999999</v>
      </c>
      <c r="J7" s="36">
        <f>IF($D$4="nasional",SUMIFS(Database!$AG$4:$AG$599981,Database!$B$4:$B$599981,Sheet2!$A7),SUMIFS(Database!$AG$4:$AG$599981,Database!$B$4:$B$599981,Sheet2!$A7,Database!$C$4:$C$599981,Sheet2!$D$4))</f>
        <v>31108</v>
      </c>
      <c r="K7" s="36">
        <f>IF($D$4="nasional",SUMIFS(Database!$AH$4:$AH$599981,Database!$B$4:$B$599981,Sheet2!$A7),SUMIFS(Database!$AH$4:$AH$599981,Database!$B$4:$B$599981,Sheet2!$A7,Database!$C$4:$C$599981,Sheet2!$D$4))</f>
        <v>17974</v>
      </c>
      <c r="M7" s="36">
        <f t="shared" ref="M7:M14" si="0">IF($M$5="Nasional",SUM(B7:K7),SUMIF($B$5:$K$5,$M$5,B7))</f>
        <v>440941.56400000001</v>
      </c>
      <c r="N7" s="36">
        <f ca="1">IF($N$5="Nasional",SUM(B7:K7),SUMIF($B$5:$K$5,$N$5,A7))</f>
        <v>52189.781999999999</v>
      </c>
      <c r="R7" s="9" t="s">
        <v>3</v>
      </c>
      <c r="T7" s="33" t="s">
        <v>3</v>
      </c>
    </row>
    <row r="8" spans="1:20" x14ac:dyDescent="0.35">
      <c r="A8">
        <v>2018</v>
      </c>
      <c r="B8" s="36">
        <f>IF($D$4="nasional",SUMIFS(Database!$Y$4:$Y$599981,Database!$B$4:$B$599981,Sheet2!A8),SUMIFS(Database!$Y$4:$Y$599981,Database!$B$4:$B$599981,Sheet2!A8,Database!$C$4:$C$599981,Sheet2!$D$4))</f>
        <v>14850</v>
      </c>
      <c r="C8" s="36">
        <f>IF($D$4="nasional",SUMIFS(Database!$Z$4:$Z$599981,Database!$B$4:$B$599981,Sheet2!$A8),SUMIFS(Database!$Z$4:$Z$599981,Database!$B$4:$B$599981,Sheet2!$A8,Database!$C$4:$C$599981,Sheet2!$D$4))</f>
        <v>41588</v>
      </c>
      <c r="D8" s="36">
        <f>IF($D$4="nasional",SUMIFS(Database!$AA$4:$AA$599981,Database!$B$4:$B$599981,Sheet2!$A8),SUMIFS(Database!$AA$4:$AA$599981,Database!$B$4:$B$599981,Sheet2!$A8,Database!$C$4:$C$599981,Sheet2!$D$4))</f>
        <v>46000</v>
      </c>
      <c r="E8" s="36">
        <f>IF($D$4="nasional",SUMIFS(Database!$AB$4:$AB$599981,Database!$B$4:$B$599981,Sheet2!$A8),SUMIFS(Database!$AB$4:$AB$599981,Database!$B$4:$B$599981,Sheet2!$A8,Database!$C$4:$C$599981,Sheet2!$D$4))</f>
        <v>23238</v>
      </c>
      <c r="F8" s="36">
        <f>IF($D$4="nasional",SUMIFS(Database!$AC$4:$AC$599981,Database!$B$4:$B$599981,Sheet2!$A8),SUMIFS(Database!$AC$4:$AC$599981,Database!$B$4:$B$599981,Sheet2!$A8,Database!$C$4:$C$599981,Sheet2!$D$4))</f>
        <v>29050</v>
      </c>
      <c r="G8" s="36">
        <f>IF($D$4="nasional",SUMIFS(Database!$AD$4:$AD$599981,Database!$B$4:$B$599981,Sheet2!$A8),SUMIFS(Database!$AD$4:$AD$599981,Database!$B$4:$B$599981,Sheet2!$A8,Database!$C$4:$C$599981,Sheet2!$D$4))</f>
        <v>30625</v>
      </c>
      <c r="H8" s="36">
        <f>IF($D$4="nasional",SUMIFS(Database!$AE$4:$AE$599981,Database!$B$4:$B$599981,Sheet2!$A8),SUMIFS(Database!$AE$4:$AE$599981,Database!$B$4:$B$599981,Sheet2!$A8,Database!$C$4:$C$599981,Sheet2!$D$4))</f>
        <v>29250</v>
      </c>
      <c r="I8" s="36">
        <f>IF($D$4="nasional",SUMIFS(Database!$AF$4:$AF$599981,Database!$B$4:$B$599981,Sheet2!$A8),SUMIFS(Database!$AF$4:$AF$599981,Database!$B$4:$B$599981,Sheet2!$A8,Database!$C$4:$C$599981,Sheet2!$D$4))</f>
        <v>30550</v>
      </c>
      <c r="J8" s="36">
        <f>IF($D$4="nasional",SUMIFS(Database!$AG$4:$AG$599981,Database!$B$4:$B$599981,Sheet2!$A8),SUMIFS(Database!$AG$4:$AG$599981,Database!$B$4:$B$599981,Sheet2!$A8,Database!$C$4:$C$599981,Sheet2!$D$4))</f>
        <v>16140</v>
      </c>
      <c r="K8" s="36">
        <f>IF($D$4="nasional",SUMIFS(Database!$AH$4:$AH$599981,Database!$B$4:$B$599981,Sheet2!$A8),SUMIFS(Database!$AH$4:$AH$599981,Database!$B$4:$B$599981,Sheet2!$A8,Database!$C$4:$C$599981,Sheet2!$D$4))</f>
        <v>26200</v>
      </c>
      <c r="M8" s="36">
        <f t="shared" si="0"/>
        <v>287491</v>
      </c>
      <c r="N8" s="36">
        <f t="shared" ref="N8:N12" ca="1" si="1">IF($N$5="Nasional",SUM(B8:K8),SUMIF($B$5:$K$5,$N$5,A8))</f>
        <v>23238</v>
      </c>
      <c r="R8" t="s">
        <v>33</v>
      </c>
      <c r="T8" t="s">
        <v>33</v>
      </c>
    </row>
    <row r="9" spans="1:20" x14ac:dyDescent="0.35">
      <c r="A9">
        <v>2019</v>
      </c>
      <c r="B9" s="36">
        <f>IF($D$4="nasional",SUMIFS(Database!$Y$4:$Y$599981,Database!$B$4:$B$599981,Sheet2!A9),SUMIFS(Database!$Y$4:$Y$599981,Database!$B$4:$B$599981,Sheet2!A9,Database!$C$4:$C$599981,Sheet2!$D$4))</f>
        <v>31736</v>
      </c>
      <c r="C9" s="36">
        <f>IF($D$4="nasional",SUMIFS(Database!$Z$4:$Z$599981,Database!$B$4:$B$599981,Sheet2!$A9),SUMIFS(Database!$Z$4:$Z$599981,Database!$B$4:$B$599981,Sheet2!$A9,Database!$C$4:$C$599981,Sheet2!$D$4))</f>
        <v>28276</v>
      </c>
      <c r="D9" s="36">
        <f>IF($D$4="nasional",SUMIFS(Database!$AA$4:$AA$599981,Database!$B$4:$B$599981,Sheet2!$A9),SUMIFS(Database!$AA$4:$AA$599981,Database!$B$4:$B$599981,Sheet2!$A9,Database!$C$4:$C$599981,Sheet2!$D$4))</f>
        <v>55325</v>
      </c>
      <c r="E9" s="36">
        <f>IF($D$4="nasional",SUMIFS(Database!$AB$4:$AB$599981,Database!$B$4:$B$599981,Sheet2!$A9),SUMIFS(Database!$AB$4:$AB$599981,Database!$B$4:$B$599981,Sheet2!$A9,Database!$C$4:$C$599981,Sheet2!$D$4))</f>
        <v>30200</v>
      </c>
      <c r="F9" s="36">
        <f>IF($D$4="nasional",SUMIFS(Database!$AC$4:$AC$599981,Database!$B$4:$B$599981,Sheet2!$A9),SUMIFS(Database!$AC$4:$AC$599981,Database!$B$4:$B$599981,Sheet2!$A9,Database!$C$4:$C$599981,Sheet2!$D$4))</f>
        <v>61375</v>
      </c>
      <c r="G9" s="36">
        <f>IF($D$4="nasional",SUMIFS(Database!$AD$4:$AD$599981,Database!$B$4:$B$599981,Sheet2!$A9),SUMIFS(Database!$AD$4:$AD$599981,Database!$B$4:$B$599981,Sheet2!$A9,Database!$C$4:$C$599981,Sheet2!$D$4))</f>
        <v>30950</v>
      </c>
      <c r="H9" s="36">
        <f>IF($D$4="nasional",SUMIFS(Database!$AE$4:$AE$599981,Database!$B$4:$B$599981,Sheet2!$A9),SUMIFS(Database!$AE$4:$AE$599981,Database!$B$4:$B$599981,Sheet2!$A9,Database!$C$4:$C$599981,Sheet2!$D$4))</f>
        <v>53068</v>
      </c>
      <c r="I9" s="36">
        <f>IF($D$4="nasional",SUMIFS(Database!$AF$4:$AF$599981,Database!$B$4:$B$599981,Sheet2!$A9),SUMIFS(Database!$AF$4:$AF$599981,Database!$B$4:$B$599981,Sheet2!$A9,Database!$C$4:$C$599981,Sheet2!$D$4))</f>
        <v>40081.781999999999</v>
      </c>
      <c r="J9" s="36">
        <f>IF($D$4="nasional",SUMIFS(Database!$AG$4:$AG$599981,Database!$B$4:$B$599981,Sheet2!$A9),SUMIFS(Database!$AG$4:$AG$599981,Database!$B$4:$B$599981,Sheet2!$A9,Database!$C$4:$C$599981,Sheet2!$D$4))</f>
        <v>70540</v>
      </c>
      <c r="K9" s="36">
        <f>IF($D$4="nasional",SUMIFS(Database!$AH$4:$AH$599981,Database!$B$4:$B$599981,Sheet2!$A9),SUMIFS(Database!$AH$4:$AH$599981,Database!$B$4:$B$599981,Sheet2!$A9,Database!$C$4:$C$599981,Sheet2!$D$4))</f>
        <v>37358</v>
      </c>
      <c r="M9" s="36">
        <f t="shared" si="0"/>
        <v>438909.78200000001</v>
      </c>
      <c r="N9" s="36">
        <f t="shared" ca="1" si="1"/>
        <v>30200</v>
      </c>
      <c r="R9" s="9" t="s">
        <v>6</v>
      </c>
    </row>
    <row r="10" spans="1:20" x14ac:dyDescent="0.35">
      <c r="A10">
        <v>2020</v>
      </c>
      <c r="B10" s="36">
        <f>IF($D$4="nasional",SUMIFS(Database!$Y$4:$Y$599981,Database!$B$4:$B$599981,Sheet2!A10),SUMIFS(Database!$Y$4:$Y$599981,Database!$B$4:$B$599981,Sheet2!A10,Database!$C$4:$C$599981,Sheet2!$D$4))</f>
        <v>15888</v>
      </c>
      <c r="C10" s="36">
        <f>IF($D$4="nasional",SUMIFS(Database!$Z$4:$Z$599981,Database!$B$4:$B$599981,Sheet2!$A10),SUMIFS(Database!$Z$4:$Z$599981,Database!$B$4:$B$599981,Sheet2!$A10,Database!$C$4:$C$599981,Sheet2!$D$4))</f>
        <v>37788</v>
      </c>
      <c r="D10" s="36">
        <f>IF($D$4="nasional",SUMIFS(Database!$AA$4:$AA$599981,Database!$B$4:$B$599981,Sheet2!$A10),SUMIFS(Database!$AA$4:$AA$599981,Database!$B$4:$B$599981,Sheet2!$A10,Database!$C$4:$C$599981,Sheet2!$D$4))</f>
        <v>51075</v>
      </c>
      <c r="E10" s="36">
        <f>IF($D$4="nasional",SUMIFS(Database!$AB$4:$AB$599981,Database!$B$4:$B$599981,Sheet2!$A10),SUMIFS(Database!$AB$4:$AB$599981,Database!$B$4:$B$599981,Sheet2!$A10,Database!$C$4:$C$599981,Sheet2!$D$4))</f>
        <v>77421.563999999998</v>
      </c>
      <c r="F10" s="36">
        <f>IF($D$4="nasional",SUMIFS(Database!$AC$4:$AC$599981,Database!$B$4:$B$599981,Sheet2!$A10),SUMIFS(Database!$AC$4:$AC$599981,Database!$B$4:$B$599981,Sheet2!$A10,Database!$C$4:$C$599981,Sheet2!$D$4))</f>
        <v>97960</v>
      </c>
      <c r="G10" s="36">
        <f>IF($D$4="nasional",SUMIFS(Database!$AD$4:$AD$599981,Database!$B$4:$B$599981,Sheet2!$A10),SUMIFS(Database!$AD$4:$AD$599981,Database!$B$4:$B$599981,Sheet2!$A10,Database!$C$4:$C$599981,Sheet2!$D$4))</f>
        <v>23750</v>
      </c>
      <c r="H10" s="36">
        <f>IF($D$4="nasional",SUMIFS(Database!$AE$4:$AE$599981,Database!$B$4:$B$599981,Sheet2!$A10),SUMIFS(Database!$AE$4:$AE$599981,Database!$B$4:$B$599981,Sheet2!$A10,Database!$C$4:$C$599981,Sheet2!$D$4))</f>
        <v>37400</v>
      </c>
      <c r="I10" s="36">
        <f>IF($D$4="nasional",SUMIFS(Database!$AF$4:$AF$599981,Database!$B$4:$B$599981,Sheet2!$A10),SUMIFS(Database!$AF$4:$AF$599981,Database!$B$4:$B$599981,Sheet2!$A10,Database!$C$4:$C$599981,Sheet2!$D$4))</f>
        <v>42500</v>
      </c>
      <c r="J10" s="36">
        <f>IF($D$4="nasional",SUMIFS(Database!$AG$4:$AG$599981,Database!$B$4:$B$599981,Sheet2!$A10),SUMIFS(Database!$AG$4:$AG$599981,Database!$B$4:$B$599981,Sheet2!$A10,Database!$C$4:$C$599981,Sheet2!$D$4))</f>
        <v>45190</v>
      </c>
      <c r="K10" s="36">
        <f>IF($D$4="nasional",SUMIFS(Database!$AH$4:$AH$599981,Database!$B$4:$B$599981,Sheet2!$A10),SUMIFS(Database!$AH$4:$AH$599981,Database!$B$4:$B$599981,Sheet2!$A10,Database!$C$4:$C$599981,Sheet2!$D$4))</f>
        <v>24050</v>
      </c>
      <c r="M10" s="36">
        <f t="shared" si="0"/>
        <v>453022.56400000001</v>
      </c>
      <c r="N10" s="36">
        <f t="shared" ca="1" si="1"/>
        <v>77421.563999999998</v>
      </c>
      <c r="R10" t="s">
        <v>45</v>
      </c>
    </row>
    <row r="11" spans="1:20" x14ac:dyDescent="0.35">
      <c r="A11">
        <v>2021</v>
      </c>
      <c r="B11" s="36">
        <f>IF($D$4="nasional",SUMIFS(Database!$Y$4:$Y$599981,Database!$B$4:$B$599981,Sheet2!A11),SUMIFS(Database!$Y$4:$Y$599981,Database!$B$4:$B$599981,Sheet2!A11,Database!$C$4:$C$599981,Sheet2!$D$4))</f>
        <v>158366</v>
      </c>
      <c r="C11" s="36">
        <f>IF($D$4="nasional",SUMIFS(Database!$Z$4:$Z$599981,Database!$B$4:$B$599981,Sheet2!$A11),SUMIFS(Database!$Z$4:$Z$599981,Database!$B$4:$B$599981,Sheet2!$A11,Database!$C$4:$C$599981,Sheet2!$D$4))</f>
        <v>39068</v>
      </c>
      <c r="D11" s="36">
        <f>IF($D$4="nasional",SUMIFS(Database!$AA$4:$AA$599981,Database!$B$4:$B$599981,Sheet2!$A11),SUMIFS(Database!$AA$4:$AA$599981,Database!$B$4:$B$599981,Sheet2!$A11,Database!$C$4:$C$599981,Sheet2!$D$4))</f>
        <v>66100</v>
      </c>
      <c r="E11" s="36">
        <f>IF($D$4="nasional",SUMIFS(Database!$AB$4:$AB$599981,Database!$B$4:$B$599981,Sheet2!$A11),SUMIFS(Database!$AB$4:$AB$599981,Database!$B$4:$B$599981,Sheet2!$A11,Database!$C$4:$C$599981,Sheet2!$D$4))</f>
        <v>106763.78200000001</v>
      </c>
      <c r="F11" s="36">
        <f>IF($D$4="nasional",SUMIFS(Database!$AC$4:$AC$599981,Database!$B$4:$B$599981,Sheet2!$A11),SUMIFS(Database!$AC$4:$AC$599981,Database!$B$4:$B$599981,Sheet2!$A11,Database!$C$4:$C$599981,Sheet2!$D$4))</f>
        <v>186103</v>
      </c>
      <c r="G11" s="36">
        <f>IF($D$4="nasional",SUMIFS(Database!$AD$4:$AD$599981,Database!$B$4:$B$599981,Sheet2!$A11),SUMIFS(Database!$AD$4:$AD$599981,Database!$B$4:$B$599981,Sheet2!$A11,Database!$C$4:$C$599981,Sheet2!$D$4))</f>
        <v>54850</v>
      </c>
      <c r="H11" s="36">
        <f>IF($D$4="nasional",SUMIFS(Database!$AE$4:$AE$599981,Database!$B$4:$B$599981,Sheet2!$A11),SUMIFS(Database!$AE$4:$AE$599981,Database!$B$4:$B$599981,Sheet2!$A11,Database!$C$4:$C$599981,Sheet2!$D$4))</f>
        <v>50108</v>
      </c>
      <c r="I11" s="36">
        <f>IF($D$4="nasional",SUMIFS(Database!$AF$4:$AF$599981,Database!$B$4:$B$599981,Sheet2!$A11),SUMIFS(Database!$AF$4:$AF$599981,Database!$B$4:$B$599981,Sheet2!$A11,Database!$C$4:$C$599981,Sheet2!$D$4))</f>
        <v>107458.56400000001</v>
      </c>
      <c r="J11" s="36">
        <f>IF($D$4="nasional",SUMIFS(Database!$AG$4:$AG$599981,Database!$B$4:$B$599981,Sheet2!$A11),SUMIFS(Database!$AG$4:$AG$599981,Database!$B$4:$B$599981,Sheet2!$A11,Database!$C$4:$C$599981,Sheet2!$D$4))</f>
        <v>118376</v>
      </c>
      <c r="K11" s="36">
        <f>IF($D$4="nasional",SUMIFS(Database!$AH$4:$AH$599981,Database!$B$4:$B$599981,Sheet2!$A11),SUMIFS(Database!$AH$4:$AH$599981,Database!$B$4:$B$599981,Sheet2!$A11,Database!$C$4:$C$599981,Sheet2!$D$4))</f>
        <v>54708</v>
      </c>
      <c r="M11" s="36">
        <f t="shared" si="0"/>
        <v>941901.34600000002</v>
      </c>
      <c r="N11" s="36">
        <f t="shared" ca="1" si="1"/>
        <v>106763.78200000001</v>
      </c>
    </row>
    <row r="12" spans="1:20" x14ac:dyDescent="0.35">
      <c r="A12">
        <v>2022</v>
      </c>
      <c r="B12" s="36">
        <f>IF($D$4="nasional",SUMIFS(Database!$Y$4:$Y$599981,Database!$B$4:$B$599981,Sheet2!A12),SUMIFS(Database!$Y$4:$Y$599981,Database!$B$4:$B$599981,Sheet2!A12,Database!$C$4:$C$599981,Sheet2!$D$4))</f>
        <v>77410</v>
      </c>
      <c r="C12" s="36">
        <f>IF($D$4="nasional",SUMIFS(Database!$Z$4:$Z$599981,Database!$B$4:$B$599981,Sheet2!$A12),SUMIFS(Database!$Z$4:$Z$599981,Database!$B$4:$B$599981,Sheet2!$A12,Database!$C$4:$C$599981,Sheet2!$D$4))</f>
        <v>39888</v>
      </c>
      <c r="D12" s="36">
        <f>IF($D$4="nasional",SUMIFS(Database!$AA$4:$AA$599981,Database!$B$4:$B$599981,Sheet2!$A12),SUMIFS(Database!$AA$4:$AA$599981,Database!$B$4:$B$599981,Sheet2!$A12,Database!$C$4:$C$599981,Sheet2!$D$4))</f>
        <v>59450</v>
      </c>
      <c r="E12" s="36">
        <f>IF($D$4="nasional",SUMIFS(Database!$AB$4:$AB$599981,Database!$B$4:$B$599981,Sheet2!$A12),SUMIFS(Database!$AB$4:$AB$599981,Database!$B$4:$B$599981,Sheet2!$A12,Database!$C$4:$C$599981,Sheet2!$D$4))</f>
        <v>28550</v>
      </c>
      <c r="F12" s="36">
        <f>IF($D$4="nasional",SUMIFS(Database!$AC$4:$AC$599981,Database!$B$4:$B$599981,Sheet2!$A12),SUMIFS(Database!$AC$4:$AC$599981,Database!$B$4:$B$599981,Sheet2!$A12,Database!$C$4:$C$599981,Sheet2!$D$4))</f>
        <v>64763</v>
      </c>
      <c r="G12" s="36">
        <f>IF($D$4="nasional",SUMIFS(Database!$AD$4:$AD$599981,Database!$B$4:$B$599981,Sheet2!$A12),SUMIFS(Database!$AD$4:$AD$599981,Database!$B$4:$B$599981,Sheet2!$A12,Database!$C$4:$C$599981,Sheet2!$D$4))</f>
        <v>39900</v>
      </c>
      <c r="H12" s="36">
        <f>IF($D$4="nasional",SUMIFS(Database!$AE$4:$AE$599981,Database!$B$4:$B$599981,Sheet2!$A12),SUMIFS(Database!$AE$4:$AE$599981,Database!$B$4:$B$599981,Sheet2!$A12,Database!$C$4:$C$599981,Sheet2!$D$4))</f>
        <v>10318</v>
      </c>
      <c r="I12" s="36">
        <f>IF($D$4="nasional",SUMIFS(Database!$AF$4:$AF$599981,Database!$B$4:$B$599981,Sheet2!$A12),SUMIFS(Database!$AF$4:$AF$599981,Database!$B$4:$B$599981,Sheet2!$A12,Database!$C$4:$C$599981,Sheet2!$D$4))</f>
        <v>66131.782000000007</v>
      </c>
      <c r="J12" s="36">
        <f>IF($D$4="nasional",SUMIFS(Database!$AG$4:$AG$599981,Database!$B$4:$B$599981,Sheet2!$A12),SUMIFS(Database!$AG$4:$AG$599981,Database!$B$4:$B$599981,Sheet2!$A12,Database!$C$4:$C$599981,Sheet2!$D$4))</f>
        <v>27950</v>
      </c>
      <c r="K12" s="36">
        <f>IF($D$4="nasional",SUMIFS(Database!$AH$4:$AH$599981,Database!$B$4:$B$599981,Sheet2!$A12),SUMIFS(Database!$AH$4:$AH$599981,Database!$B$4:$B$599981,Sheet2!$A12,Database!$C$4:$C$599981,Sheet2!$D$4))</f>
        <v>11188</v>
      </c>
      <c r="M12" s="36">
        <f t="shared" si="0"/>
        <v>425548.78200000001</v>
      </c>
      <c r="N12" s="36">
        <f t="shared" ca="1" si="1"/>
        <v>28550</v>
      </c>
    </row>
    <row r="13" spans="1:20" x14ac:dyDescent="0.35">
      <c r="B13" s="36">
        <f>IF($D$4="nasional",SUMIFS(Database!$Y$4:$Y$599981,Database!$B$4:$B$599981,Sheet2!A13),SUMIFS(Database!$Y$4:$Y$599981,Database!$B$4:$B$599981,Sheet2!A13,Database!$C$4:$C$599981,Sheet2!$D$4))</f>
        <v>0</v>
      </c>
      <c r="C13" s="36">
        <f>IF($D$4="nasional",SUMIFS(Database!$Z$4:$Z$599981,Database!$B$4:$B$599981,Sheet2!$A13),SUMIFS(Database!$Z$4:$Z$599981,Database!$B$4:$B$599981,Sheet2!$A13,Database!$C$4:$C$599981,Sheet2!$D$4))</f>
        <v>0</v>
      </c>
      <c r="D13" s="36">
        <f>IF($D$4="nasional",SUMIFS(Database!$AA$4:$AA$599981,Database!$B$4:$B$599981,Sheet2!$A13),SUMIFS(Database!$AA$4:$AA$599981,Database!$B$4:$B$599981,Sheet2!$A13,Database!$C$4:$C$599981,Sheet2!$D$4))</f>
        <v>0</v>
      </c>
      <c r="E13" s="36">
        <f>IF($D$4="nasional",SUMIFS(Database!$AB$4:$AB$599981,Database!$B$4:$B$599981,Sheet2!$A13),SUMIFS(Database!$AB$4:$AB$599981,Database!$B$4:$B$599981,Sheet2!$A13,Database!$C$4:$C$599981,Sheet2!$D$4))</f>
        <v>0</v>
      </c>
      <c r="F13" s="36">
        <f>IF($D$4="nasional",SUMIFS(Database!$AC$4:$AC$599981,Database!$B$4:$B$599981,Sheet2!$A13),SUMIFS(Database!$AC$4:$AC$599981,Database!$B$4:$B$599981,Sheet2!$A13,Database!$C$4:$C$599981,Sheet2!$D$4))</f>
        <v>0</v>
      </c>
      <c r="G13" s="36">
        <f>IF($D$4="nasional",SUMIFS(Database!$AD$4:$AD$599981,Database!$B$4:$B$599981,Sheet2!$A13),SUMIFS(Database!$AD$4:$AD$599981,Database!$B$4:$B$599981,Sheet2!$A13,Database!$C$4:$C$599981,Sheet2!$D$4))</f>
        <v>0</v>
      </c>
      <c r="H13" s="36">
        <f>IF($D$4="nasional",SUMIFS(Database!$AE$4:$AE$599981,Database!$B$4:$B$599981,Sheet2!$A13),SUMIFS(Database!$AE$4:$AE$599981,Database!$B$4:$B$599981,Sheet2!$A13,Database!$C$4:$C$599981,Sheet2!$D$4))</f>
        <v>0</v>
      </c>
      <c r="I13" s="36">
        <f>IF($D$4="nasional",SUMIFS(Database!$AF$4:$AF$599981,Database!$B$4:$B$599981,Sheet2!$A13),SUMIFS(Database!$AF$4:$AF$599981,Database!$B$4:$B$599981,Sheet2!$A13,Database!$C$4:$C$599981,Sheet2!$D$4))</f>
        <v>0</v>
      </c>
      <c r="J13" s="36">
        <f>IF($D$4="nasional",SUMIFS(Database!$AG$4:$AG$599981,Database!$B$4:$B$599981,Sheet2!$A13),SUMIFS(Database!$AG$4:$AG$599981,Database!$B$4:$B$599981,Sheet2!$A13,Database!$C$4:$C$599981,Sheet2!$D$4))</f>
        <v>0</v>
      </c>
      <c r="K13" s="36">
        <f>IF($D$4="nasional",SUMIFS(Database!$AH$4:$AH$599981,Database!$B$4:$B$599981,Sheet2!$A13),SUMIFS(Database!$AH$4:$AH$599981,Database!$B$4:$B$599981,Sheet2!$A13,Database!$C$4:$C$599981,Sheet2!$D$4))</f>
        <v>0</v>
      </c>
      <c r="M13" s="36">
        <f t="shared" si="0"/>
        <v>0</v>
      </c>
      <c r="N13" s="36"/>
    </row>
    <row r="14" spans="1:20" x14ac:dyDescent="0.35">
      <c r="B14" s="36">
        <f>IF($D$4="nasional",SUMIFS(Database!$Y$4:$Y$599981,Database!$B$4:$B$599981,Sheet2!A14),SUMIFS(Database!$Y$4:$Y$599981,Database!$B$4:$B$599981,Sheet2!A14,Database!$C$4:$C$599981,Sheet2!$D$4))</f>
        <v>0</v>
      </c>
      <c r="C14" s="36">
        <f>IF($D$4="nasional",SUMIFS(Database!$Z$4:$Z$599981,Database!$B$4:$B$599981,Sheet2!$A14),SUMIFS(Database!$Z$4:$Z$599981,Database!$B$4:$B$599981,Sheet2!$A14,Database!$C$4:$C$599981,Sheet2!$D$4))</f>
        <v>0</v>
      </c>
      <c r="D14" s="36">
        <f>IF($D$4="nasional",SUMIFS(Database!$AA$4:$AA$599981,Database!$B$4:$B$599981,Sheet2!$A14),SUMIFS(Database!$AA$4:$AA$599981,Database!$B$4:$B$599981,Sheet2!$A14,Database!$C$4:$C$599981,Sheet2!$D$4))</f>
        <v>0</v>
      </c>
      <c r="E14" s="36">
        <f>IF($D$4="nasional",SUMIFS(Database!$AB$4:$AB$599981,Database!$B$4:$B$599981,Sheet2!$A14),SUMIFS(Database!$AB$4:$AB$599981,Database!$B$4:$B$599981,Sheet2!$A14,Database!$C$4:$C$599981,Sheet2!$D$4))</f>
        <v>0</v>
      </c>
      <c r="F14" s="36">
        <f>IF($D$4="nasional",SUMIFS(Database!$AC$4:$AC$599981,Database!$B$4:$B$599981,Sheet2!$A14),SUMIFS(Database!$AC$4:$AC$599981,Database!$B$4:$B$599981,Sheet2!$A14,Database!$C$4:$C$599981,Sheet2!$D$4))</f>
        <v>0</v>
      </c>
      <c r="G14" s="36">
        <f>IF($D$4="nasional",SUMIFS(Database!$AD$4:$AD$599981,Database!$B$4:$B$599981,Sheet2!$A14),SUMIFS(Database!$AD$4:$AD$599981,Database!$B$4:$B$599981,Sheet2!$A14,Database!$C$4:$C$599981,Sheet2!$D$4))</f>
        <v>0</v>
      </c>
      <c r="H14" s="36">
        <f>IF($D$4="nasional",SUMIFS(Database!$AE$4:$AE$599981,Database!$B$4:$B$599981,Sheet2!$A14),SUMIFS(Database!$AE$4:$AE$599981,Database!$B$4:$B$599981,Sheet2!$A14,Database!$C$4:$C$599981,Sheet2!$D$4))</f>
        <v>0</v>
      </c>
      <c r="I14" s="36">
        <f>IF($D$4="nasional",SUMIFS(Database!$AF$4:$AF$599981,Database!$B$4:$B$599981,Sheet2!$A14),SUMIFS(Database!$AF$4:$AF$599981,Database!$B$4:$B$599981,Sheet2!$A14,Database!$C$4:$C$599981,Sheet2!$D$4))</f>
        <v>0</v>
      </c>
      <c r="J14" s="36">
        <f>IF($D$4="nasional",SUMIFS(Database!$AG$4:$AG$599981,Database!$B$4:$B$599981,Sheet2!$A14),SUMIFS(Database!$AG$4:$AG$599981,Database!$B$4:$B$599981,Sheet2!$A14,Database!$C$4:$C$599981,Sheet2!$D$4))</f>
        <v>0</v>
      </c>
      <c r="K14" s="36">
        <f>IF($D$4="nasional",SUMIFS(Database!$AH$4:$AH$599981,Database!$B$4:$B$599981,Sheet2!$A14),SUMIFS(Database!$AH$4:$AH$599981,Database!$B$4:$B$599981,Sheet2!$A14,Database!$C$4:$C$599981,Sheet2!$D$4))</f>
        <v>0</v>
      </c>
      <c r="M14" s="36">
        <f t="shared" si="0"/>
        <v>0</v>
      </c>
      <c r="N14" s="36"/>
    </row>
    <row r="15" spans="1:20" x14ac:dyDescent="0.35">
      <c r="A15" s="43" t="s">
        <v>5</v>
      </c>
      <c r="B15" s="43"/>
      <c r="C15" s="43"/>
      <c r="D15" s="43"/>
      <c r="E15" s="43"/>
      <c r="F15" s="43"/>
      <c r="G15" s="43"/>
    </row>
    <row r="16" spans="1:20" x14ac:dyDescent="0.35">
      <c r="A16" t="s">
        <v>6</v>
      </c>
      <c r="B16" t="str">
        <f>R10</f>
        <v>Bangladesh</v>
      </c>
      <c r="D16" t="s">
        <v>2</v>
      </c>
      <c r="E16" t="str">
        <f>R6</f>
        <v>2020</v>
      </c>
    </row>
    <row r="17" spans="1:25" x14ac:dyDescent="0.35">
      <c r="A17" t="s">
        <v>3</v>
      </c>
      <c r="B17" t="s">
        <v>18</v>
      </c>
      <c r="C17" t="s">
        <v>19</v>
      </c>
      <c r="D17" t="s">
        <v>20</v>
      </c>
      <c r="E17" t="s">
        <v>21</v>
      </c>
      <c r="F17" t="s">
        <v>22</v>
      </c>
      <c r="G17" t="s">
        <v>23</v>
      </c>
      <c r="H17" t="s">
        <v>25</v>
      </c>
      <c r="I17" t="s">
        <v>26</v>
      </c>
      <c r="J17" t="s">
        <v>27</v>
      </c>
      <c r="K17" t="s">
        <v>28</v>
      </c>
      <c r="L17" t="s">
        <v>29</v>
      </c>
      <c r="M17" t="s">
        <v>30</v>
      </c>
      <c r="N17" s="20" t="s">
        <v>17</v>
      </c>
    </row>
    <row r="18" spans="1:25" x14ac:dyDescent="0.35">
      <c r="N18" s="20"/>
    </row>
    <row r="19" spans="1:25" x14ac:dyDescent="0.35">
      <c r="A19" t="s">
        <v>8</v>
      </c>
      <c r="B19">
        <f>IF($D$4="nasional",SUMIFS(Database!$AD$4:$AD$599981,Database!$B$4:$B$599981,Sheet2!$E$16,Database!$A$4:$A$599981,Sheet2!B$17,Database!$D$4:$D$599981,Sheet2!$B$16),SUMIFS(Database!$AD$4:$AD$599981,Database!$B$4:$B$599981,Sheet2!$E$16,Database!$A$4:$A$599981,Sheet2!B$17,Database!$D$4:$D$599981,Sheet2!$B$16,Database!$C$4:$C$599981,$D$4))</f>
        <v>0</v>
      </c>
      <c r="C19">
        <f>IF($D$4="nasional",SUMIFS(Database!$AD$4:$AD$599981,Database!$B$4:$B$599981,Sheet2!$E$16,Database!$A$4:$A$599981,Sheet2!C$17,Database!$D$4:$D$599981,Sheet2!$B$16),SUMIFS(Database!$AD$4:$AD$599981,Database!$B$4:$B$599981,Sheet2!$E$16,Database!$A$4:$A$599981,Sheet2!C$17,Database!$D$4:$D$599981,Sheet2!$B$16,Database!$C$4:$C$599981,$D$4))</f>
        <v>0</v>
      </c>
      <c r="D19">
        <f>IF($D$4="nasional",SUMIFS(Database!$AD$4:$AD$599981,Database!$B$4:$B$599981,Sheet2!$E$16,Database!$A$4:$A$599981,Sheet2!D$17,Database!$D$4:$D$599981,Sheet2!$B$16),SUMIFS(Database!$AD$4:$AD$599981,Database!$B$4:$B$599981,Sheet2!$E$16,Database!$A$4:$A$599981,Sheet2!D$17,Database!$D$4:$D$599981,Sheet2!$B$16,Database!$C$4:$C$599981,$D$4))</f>
        <v>0</v>
      </c>
      <c r="E19">
        <f>IF($D$4="nasional",SUMIFS(Database!$AD$4:$AD$599981,Database!$B$4:$B$599981,Sheet2!$E$16,Database!$A$4:$A$599981,Sheet2!E$17,Database!$D$4:$D$599981,Sheet2!$B$16),SUMIFS(Database!$AD$4:$AD$599981,Database!$B$4:$B$599981,Sheet2!$E$16,Database!$A$4:$A$599981,Sheet2!E$17,Database!$D$4:$D$599981,Sheet2!$B$16,Database!$C$4:$C$599981,$D$4))</f>
        <v>0</v>
      </c>
      <c r="F19">
        <f>IF($D$4="nasional",SUMIFS(Database!$AD$4:$AD$599981,Database!$B$4:$B$599981,Sheet2!$E$16,Database!$A$4:$A$599981,Sheet2!F$17,Database!$D$4:$D$599981,Sheet2!$B$16),SUMIFS(Database!$AD$4:$AD$599981,Database!$B$4:$B$599981,Sheet2!$E$16,Database!$A$4:$A$599981,Sheet2!F$17,Database!$D$4:$D$599981,Sheet2!$B$16,Database!$C$4:$C$599981,$D$4))</f>
        <v>0</v>
      </c>
      <c r="G19">
        <f>IF($D$4="nasional",SUMIFS(Database!$AD$4:$AD$599981,Database!$B$4:$B$599981,Sheet2!$E$16,Database!$A$4:$A$599981,Sheet2!G$17,Database!$D$4:$D$599981,Sheet2!$B$16),SUMIFS(Database!$AD$4:$AD$599981,Database!$B$4:$B$599981,Sheet2!$E$16,Database!$A$4:$A$599981,Sheet2!G$17,Database!$D$4:$D$599981,Sheet2!$B$16,Database!$C$4:$C$599981,$D$4))</f>
        <v>200</v>
      </c>
      <c r="H19">
        <f>IF($D$4="nasional",SUMIFS(Database!$AD$4:$AD$599981,Database!$B$4:$B$599981,Sheet2!$E$16,Database!$A$4:$A$599981,Sheet2!H$17,Database!$D$4:$D$599981,Sheet2!$B$16),SUMIFS(Database!$AD$4:$AD$599981,Database!$B$4:$B$599981,Sheet2!$E$16,Database!$A$4:$A$599981,Sheet2!H$17,Database!$D$4:$D$599981,Sheet2!$B$16,Database!$C$4:$C$599981,$D$4))</f>
        <v>0</v>
      </c>
      <c r="I19">
        <f>IF($D$4="nasional",SUMIFS(Database!$AD$4:$AD$599981,Database!$B$4:$B$599981,Sheet2!$E$16,Database!$A$4:$A$599981,Sheet2!I$17,Database!$D$4:$D$599981,Sheet2!$B$16),SUMIFS(Database!$AD$4:$AD$599981,Database!$B$4:$B$599981,Sheet2!$E$16,Database!$A$4:$A$599981,Sheet2!I$17,Database!$D$4:$D$599981,Sheet2!$B$16,Database!$C$4:$C$599981,$D$4))</f>
        <v>0</v>
      </c>
      <c r="J19">
        <f>IF($D$4="nasional",SUMIFS(Database!$AD$4:$AD$599981,Database!$B$4:$B$599981,Sheet2!$E$16,Database!$A$4:$A$599981,Sheet2!J$17,Database!$D$4:$D$599981,Sheet2!$B$16),SUMIFS(Database!$AD$4:$AD$599981,Database!$B$4:$B$599981,Sheet2!$E$16,Database!$A$4:$A$599981,Sheet2!J$17,Database!$D$4:$D$599981,Sheet2!$B$16,Database!$C$4:$C$599981,$D$4))</f>
        <v>0</v>
      </c>
      <c r="K19">
        <f>IF($D$4="nasional",SUMIFS(Database!$AD$4:$AD$599981,Database!$B$4:$B$599981,Sheet2!$E$16,Database!$A$4:$A$599981,Sheet2!K$17,Database!$D$4:$D$599981,Sheet2!$B$16),SUMIFS(Database!$AD$4:$AD$599981,Database!$B$4:$B$599981,Sheet2!$E$16,Database!$A$4:$A$599981,Sheet2!K$17,Database!$D$4:$D$599981,Sheet2!$B$16,Database!$C$4:$C$599981,$D$4))</f>
        <v>0</v>
      </c>
      <c r="L19">
        <f>IF($D$4="nasional",SUMIFS(Database!$AD$4:$AD$599981,Database!$B$4:$B$599981,Sheet2!$E$16,Database!$A$4:$A$599981,Sheet2!L$17,Database!$D$4:$D$599981,Sheet2!$B$16),SUMIFS(Database!$AD$4:$AD$599981,Database!$B$4:$B$599981,Sheet2!$E$16,Database!$A$4:$A$599981,Sheet2!L$17,Database!$D$4:$D$599981,Sheet2!$B$16,Database!$C$4:$C$599981,$D$4))</f>
        <v>0</v>
      </c>
      <c r="M19">
        <f>IF($D$4="nasional",SUMIFS(Database!$AD$4:$AD$599981,Database!$B$4:$B$599981,Sheet2!$E$16,Database!$A$4:$A$599981,Sheet2!M$17,Database!$D$4:$D$599981,Sheet2!$B$16),SUMIFS(Database!$AD$4:$AD$599981,Database!$B$4:$B$599981,Sheet2!$E$16,Database!$A$4:$A$599981,Sheet2!M$17,Database!$D$4:$D$599981,Sheet2!$B$16,Database!$C$4:$C$599981,$D$4))</f>
        <v>2500</v>
      </c>
      <c r="N19">
        <f>IF($D$4="nasional",SUMIFS(Database!$AD$4:$AD$599981,Database!$B$4:$B$599981,Sheet2!$E$16,Database!$A$4:$A$599981,Sheet2!N$17,Database!$D$4:$D$599981,Sheet2!$B$16),SUMIFS(Database!$AD$4:$AD$599981,Database!$B$4:$B$599981,Sheet2!$E$16,Database!$A$4:$A$599981,Sheet2!N$17,Database!$D$4:$D$599981,Sheet2!$B$16,Database!$C$4:$C$599981,$D$4))</f>
        <v>0</v>
      </c>
    </row>
    <row r="20" spans="1:25" x14ac:dyDescent="0.35">
      <c r="A20" t="s">
        <v>9</v>
      </c>
      <c r="B20">
        <f>IF($D$4="nasional",SUMIFS(Database!$Y$4:$Y$599981,Database!$B$4:$B$599981,Sheet2!$E$16,Database!$A$4:$A$599981,Sheet2!B$17,Database!$D$4:$D$599981,Sheet2!$B$16),IF($D$4="Cement",SUMIFS(Database!$Y$4:$Y$599981,Database!$B$4:$B$599981,Sheet2!$E$16,Database!$A$4:$A$599981,Sheet2!B$17,Database!$D$4:$D$599981,Sheet2!$B$16,Database!$C$4:$C$599981,Sheet2!$D$4),SUMIFS(Database!$Y$4:$Y$599981,Database!$B$4:$B$599981,Sheet2!$E$16,Database!$A$4:$A$599981,Sheet2!B$17,Database!$D$4:$D$599981,Sheet2!$B$16,Database!$C$4:$C$599981,Sheet2!$D$4)))</f>
        <v>0</v>
      </c>
      <c r="C20">
        <f>IF($D$4="nasional",SUMIFS(Database!$Y$4:$Y$599981,Database!$B$4:$B$599981,Sheet2!$E$16,Database!$A$4:$A$599981,Sheet2!C$17,Database!$D$4:$D$599981,Sheet2!$B$16),SUMIFS(Database!$Y$4:$Y$599981,Database!$B$4:$B$599981,Sheet2!$E$16,Database!$A$4:$A$599981,Sheet2!C$17,Database!$D$4:$D$599981,Sheet2!$B$16,Database!$C$4:$C$599981,Sheet2!$D$4))</f>
        <v>0</v>
      </c>
      <c r="D20">
        <f>IF($D$4="nasional",SUMIFS(Database!$Y$4:$Y$599981,Database!$B$4:$B$599981,Sheet2!$E$16,Database!$A$4:$A$599981,Sheet2!D$17,Database!$D$4:$D$599981,Sheet2!$B$16),SUMIFS(Database!$Y$4:$Y$599981,Database!$B$4:$B$599981,Sheet2!$E$16,Database!$A$4:$A$599981,Sheet2!D$17,Database!$D$4:$D$599981,Sheet2!$B$16,Database!$C$4:$C$599981,Sheet2!$D$4))</f>
        <v>1000</v>
      </c>
      <c r="E20">
        <f>IF($D$4="nasional",SUMIFS(Database!$Y$4:$Y$599981,Database!$B$4:$B$599981,Sheet2!$E$16,Database!$A$4:$A$599981,Sheet2!E$17,Database!$D$4:$D$599981,Sheet2!$B$16),SUMIFS(Database!$Y$4:$Y$599981,Database!$B$4:$B$599981,Sheet2!$E$16,Database!$A$4:$A$599981,Sheet2!E$17,Database!$D$4:$D$599981,Sheet2!$B$16,Database!$C$4:$C$599981,Sheet2!$D$4))</f>
        <v>0</v>
      </c>
      <c r="F20">
        <f>IF($D$4="nasional",SUMIFS(Database!$Y$4:$Y$599981,Database!$B$4:$B$599981,Sheet2!$E$16,Database!$A$4:$A$599981,Sheet2!F$17,Database!$D$4:$D$599981,Sheet2!$B$16),SUMIFS(Database!$Y$4:$Y$599981,Database!$B$4:$B$599981,Sheet2!$E$16,Database!$A$4:$A$599981,Sheet2!F$17,Database!$D$4:$D$599981,Sheet2!$B$16,Database!$C$4:$C$599981,Sheet2!$D$4))</f>
        <v>0</v>
      </c>
      <c r="G20">
        <f>IF($D$4="nasional",SUMIFS(Database!$Y$4:$Y$599981,Database!$B$4:$B$599981,Sheet2!$E$16,Database!$A$4:$A$599981,Sheet2!G$17,Database!$D$4:$D$599981,Sheet2!$B$16),SUMIFS(Database!$Y$4:$Y$599981,Database!$B$4:$B$599981,Sheet2!$E$16,Database!$A$4:$A$599981,Sheet2!G$17,Database!$D$4:$D$599981,Sheet2!$B$16,Database!$C$4:$C$599981,Sheet2!$D$4))</f>
        <v>0</v>
      </c>
      <c r="H20">
        <f>IF($D$4="nasional",SUMIFS(Database!$Y$4:$Y$599981,Database!$B$4:$B$599981,Sheet2!$E$16,Database!$A$4:$A$599981,Sheet2!H$17,Database!$D$4:$D$599981,Sheet2!$B$16),SUMIFS(Database!$Y$4:$Y$599981,Database!$B$4:$B$599981,Sheet2!$E$16,Database!$A$4:$A$599981,Sheet2!H$17,Database!$D$4:$D$599981,Sheet2!$B$16,Database!$C$4:$C$599981,Sheet2!$D$4))</f>
        <v>0</v>
      </c>
      <c r="I20">
        <f>IF($D$4="nasional",SUMIFS(Database!$Y$4:$Y$599981,Database!$B$4:$B$599981,Sheet2!$E$16,Database!$A$4:$A$599981,Sheet2!I$17,Database!$D$4:$D$599981,Sheet2!$B$16),SUMIFS(Database!$Y$4:$Y$599981,Database!$B$4:$B$599981,Sheet2!$E$16,Database!$A$4:$A$599981,Sheet2!I$17,Database!$D$4:$D$599981,Sheet2!$B$16,Database!$C$4:$C$599981,Sheet2!$D$4))</f>
        <v>0</v>
      </c>
      <c r="J20">
        <f>IF($D$4="nasional",SUMIFS(Database!$Y$4:$Y$599981,Database!$B$4:$B$599981,Sheet2!$E$16,Database!$A$4:$A$599981,Sheet2!J$17,Database!$D$4:$D$599981,Sheet2!$B$16),SUMIFS(Database!$Y$4:$Y$599981,Database!$B$4:$B$599981,Sheet2!$E$16,Database!$A$4:$A$599981,Sheet2!J$17,Database!$D$4:$D$599981,Sheet2!$B$16,Database!$C$4:$C$599981,Sheet2!$D$4))</f>
        <v>0</v>
      </c>
      <c r="K20">
        <f>IF($D$4="nasional",SUMIFS(Database!$Y$4:$Y$599981,Database!$B$4:$B$599981,Sheet2!$E$16,Database!$A$4:$A$599981,Sheet2!K$17,Database!$D$4:$D$599981,Sheet2!$B$16),SUMIFS(Database!$Y$4:$Y$599981,Database!$B$4:$B$599981,Sheet2!$E$16,Database!$A$4:$A$599981,Sheet2!K$17,Database!$D$4:$D$599981,Sheet2!$B$16,Database!$C$4:$C$599981,Sheet2!$D$4))</f>
        <v>0</v>
      </c>
      <c r="L20">
        <f>IF($D$4="nasional",SUMIFS(Database!$Y$4:$Y$599981,Database!$B$4:$B$599981,Sheet2!$E$16,Database!$A$4:$A$599981,Sheet2!L$17,Database!$D$4:$D$599981,Sheet2!$B$16),SUMIFS(Database!$Y$4:$Y$599981,Database!$B$4:$B$599981,Sheet2!$E$16,Database!$A$4:$A$599981,Sheet2!L$17,Database!$D$4:$D$599981,Sheet2!$B$16,Database!$C$4:$C$599981,Sheet2!$D$4))</f>
        <v>0</v>
      </c>
      <c r="M20">
        <f>IF($D$4="nasional",SUMIFS(Database!$Y$4:$Y$599981,Database!$B$4:$B$599981,Sheet2!$E$16,Database!$A$4:$A$599981,Sheet2!M$17,Database!$D$4:$D$599981,Sheet2!$B$16),SUMIFS(Database!$Y$4:$Y$599981,Database!$B$4:$B$599981,Sheet2!$E$16,Database!$A$4:$A$599981,Sheet2!M$17,Database!$D$4:$D$599981,Sheet2!$B$16,Database!$C$4:$C$599981,Sheet2!$D$4))</f>
        <v>0</v>
      </c>
      <c r="N20" s="20">
        <f>SUM(B20:M20)</f>
        <v>1000</v>
      </c>
    </row>
    <row r="21" spans="1:25" x14ac:dyDescent="0.35">
      <c r="A21" t="s">
        <v>10</v>
      </c>
      <c r="B21">
        <f>IF($D$4="nasional",SUMIFS(Database!$AF$4:$AF$599981,Database!$B$4:$B$599981,Sheet2!$E$16,Database!$A$4:$A$599981,Sheet2!B$17,Database!$D$4:$D$599981,Sheet2!$B$16),SUMIFS(Database!$AF$4:$AF$599981,Database!$B$4:$B$599981,Sheet2!$E$16,Database!$A$4:$A$599981,Sheet2!B$17,Database!$D$4:$D$599981,Sheet2!$B$16,Database!$C$4:$C$599981,Sheet2!$D$4))</f>
        <v>0</v>
      </c>
      <c r="C21">
        <f>IF($D$4="nasional",SUMIFS(Database!$AF$4:$AF$599981,Database!$B$4:$B$599981,Sheet2!$E$16,Database!$A$4:$A$599981,Sheet2!C$17,Database!$D$4:$D$599981,Sheet2!$B$16),SUMIFS(Database!$AF$4:$AF$599981,Database!$B$4:$B$599981,Sheet2!$E$16,Database!$A$4:$A$599981,Sheet2!C$17,Database!$D$4:$D$599981,Sheet2!$B$16,Database!$C$4:$C$599981,Sheet2!$D$4))</f>
        <v>0</v>
      </c>
      <c r="D21">
        <f>IF($D$4="nasional",SUMIFS(Database!$AF$4:$AF$599981,Database!$B$4:$B$599981,Sheet2!$E$16,Database!$A$4:$A$599981,Sheet2!D$17,Database!$D$4:$D$599981,Sheet2!$B$16),SUMIFS(Database!$AF$4:$AF$599981,Database!$B$4:$B$599981,Sheet2!$E$16,Database!$A$4:$A$599981,Sheet2!D$17,Database!$D$4:$D$599981,Sheet2!$B$16,Database!$C$4:$C$599981,Sheet2!$D$4))</f>
        <v>200</v>
      </c>
      <c r="E21">
        <f>IF($D$4="nasional",SUMIFS(Database!$AF$4:$AF$599981,Database!$B$4:$B$599981,Sheet2!$E$16,Database!$A$4:$A$599981,Sheet2!E$17,Database!$D$4:$D$599981,Sheet2!$B$16),SUMIFS(Database!$AF$4:$AF$599981,Database!$B$4:$B$599981,Sheet2!$E$16,Database!$A$4:$A$599981,Sheet2!E$17,Database!$D$4:$D$599981,Sheet2!$B$16,Database!$C$4:$C$599981,Sheet2!$D$4))</f>
        <v>0</v>
      </c>
      <c r="F21">
        <f>IF($D$4="nasional",SUMIFS(Database!$AF$4:$AF$599981,Database!$B$4:$B$599981,Sheet2!$E$16,Database!$A$4:$A$599981,Sheet2!F$17,Database!$D$4:$D$599981,Sheet2!$B$16),SUMIFS(Database!$AF$4:$AF$599981,Database!$B$4:$B$599981,Sheet2!$E$16,Database!$A$4:$A$599981,Sheet2!F$17,Database!$D$4:$D$599981,Sheet2!$B$16,Database!$C$4:$C$599981,Sheet2!$D$4))</f>
        <v>0</v>
      </c>
      <c r="G21">
        <f>IF($D$4="nasional",SUMIFS(Database!$AF$4:$AF$599981,Database!$B$4:$B$599981,Sheet2!$E$16,Database!$A$4:$A$599981,Sheet2!G$17,Database!$D$4:$D$599981,Sheet2!$B$16),SUMIFS(Database!$AF$4:$AF$599981,Database!$B$4:$B$599981,Sheet2!$E$16,Database!$A$4:$A$599981,Sheet2!G$17,Database!$D$4:$D$599981,Sheet2!$B$16,Database!$C$4:$C$599981,Sheet2!$D$4))</f>
        <v>0</v>
      </c>
      <c r="H21">
        <f>IF($D$4="nasional",SUMIFS(Database!$AF$4:$AF$599981,Database!$B$4:$B$599981,Sheet2!$E$16,Database!$A$4:$A$599981,Sheet2!H$17,Database!$D$4:$D$599981,Sheet2!$B$16),SUMIFS(Database!$AF$4:$AF$599981,Database!$B$4:$B$599981,Sheet2!$E$16,Database!$A$4:$A$599981,Sheet2!H$17,Database!$D$4:$D$599981,Sheet2!$B$16,Database!$C$4:$C$599981,Sheet2!$D$4))</f>
        <v>10675</v>
      </c>
      <c r="I21">
        <f>IF($D$4="nasional",SUMIFS(Database!$AF$4:$AF$599981,Database!$B$4:$B$599981,Sheet2!$E$16,Database!$A$4:$A$599981,Sheet2!I$17,Database!$D$4:$D$599981,Sheet2!$B$16),SUMIFS(Database!$AF$4:$AF$599981,Database!$B$4:$B$599981,Sheet2!$E$16,Database!$A$4:$A$599981,Sheet2!I$17,Database!$D$4:$D$599981,Sheet2!$B$16,Database!$C$4:$C$599981,Sheet2!$D$4))</f>
        <v>0</v>
      </c>
      <c r="J21">
        <f>IF($D$4="nasional",SUMIFS(Database!$AF$4:$AF$599981,Database!$B$4:$B$599981,Sheet2!$E$16,Database!$A$4:$A$599981,Sheet2!J$17,Database!$D$4:$D$599981,Sheet2!$B$16),SUMIFS(Database!$AF$4:$AF$599981,Database!$B$4:$B$599981,Sheet2!$E$16,Database!$A$4:$A$599981,Sheet2!J$17,Database!$D$4:$D$599981,Sheet2!$B$16,Database!$C$4:$C$599981,Sheet2!$D$4))</f>
        <v>0</v>
      </c>
      <c r="K21">
        <f>IF($D$4="nasional",SUMIFS(Database!$AF$4:$AF$599981,Database!$B$4:$B$599981,Sheet2!$E$16,Database!$A$4:$A$599981,Sheet2!K$17,Database!$D$4:$D$599981,Sheet2!$B$16),SUMIFS(Database!$AF$4:$AF$599981,Database!$B$4:$B$599981,Sheet2!$E$16,Database!$A$4:$A$599981,Sheet2!K$17,Database!$D$4:$D$599981,Sheet2!$B$16,Database!$C$4:$C$599981,Sheet2!$D$4))</f>
        <v>0</v>
      </c>
      <c r="L21">
        <f>IF($D$4="nasional",SUMIFS(Database!$AF$4:$AF$599981,Database!$B$4:$B$599981,Sheet2!$E$16,Database!$A$4:$A$599981,Sheet2!L$17,Database!$D$4:$D$599981,Sheet2!$B$16),SUMIFS(Database!$AF$4:$AF$599981,Database!$B$4:$B$599981,Sheet2!$E$16,Database!$A$4:$A$599981,Sheet2!L$17,Database!$D$4:$D$599981,Sheet2!$B$16,Database!$C$4:$C$599981,Sheet2!$D$4))</f>
        <v>0</v>
      </c>
      <c r="M21">
        <f>IF($D$4="nasional",SUMIFS(Database!$AF$4:$AF$599981,Database!$B$4:$B$599981,Sheet2!$E$16,Database!$A$4:$A$599981,Sheet2!M$17,Database!$D$4:$D$599981,Sheet2!$B$16),SUMIFS(Database!$AF$4:$AF$599981,Database!$B$4:$B$599981,Sheet2!$E$16,Database!$A$4:$A$599981,Sheet2!M$17,Database!$D$4:$D$599981,Sheet2!$B$16,Database!$C$4:$C$599981,Sheet2!$D$4))</f>
        <v>0</v>
      </c>
      <c r="N21" s="20">
        <f t="shared" ref="N21:N29" si="2">SUM(B21:M21)</f>
        <v>10875</v>
      </c>
    </row>
    <row r="22" spans="1:25" x14ac:dyDescent="0.35">
      <c r="A22" t="s">
        <v>11</v>
      </c>
      <c r="B22">
        <f>IF($D$4="nasional",SUMIFS(Database!$AC$4:$AC$599981,Database!$B$4:$B$599981,Sheet2!$E$16,Database!$A$4:$A$599981,Sheet2!B$17,Database!$D$4:$D$599981,Sheet2!$B$16),SUMIFS(Database!$AC$4:$AC$599981,Database!$B$4:$B$599981,Sheet2!$E$16,Database!$A$4:$A$599981,Sheet2!B$17,Database!$D$4:$D$599981,Sheet2!$B$16,Database!$C$4:$C$599981,Sheet2!$D$4))</f>
        <v>0</v>
      </c>
      <c r="C22">
        <f>IF($D$4="nasional",SUMIFS(Database!$AC$4:$AC$599981,Database!$B$4:$B$599981,Sheet2!$E$16,Database!$A$4:$A$599981,Sheet2!C$17,Database!$D$4:$D$599981,Sheet2!$B$16),SUMIFS(Database!$AC$4:$AC$599981,Database!$B$4:$B$599981,Sheet2!$E$16,Database!$A$4:$A$599981,Sheet2!C$17,Database!$D$4:$D$599981,Sheet2!$B$16,Database!$C$4:$C$599981,Sheet2!$D$4))</f>
        <v>0</v>
      </c>
      <c r="D22">
        <f>IF($D$4="nasional",SUMIFS(Database!$AC$4:$AC$599981,Database!$B$4:$B$599981,Sheet2!$E$16,Database!$A$4:$A$599981,Sheet2!D$17,Database!$D$4:$D$599981,Sheet2!$B$16),SUMIFS(Database!$AC$4:$AC$599981,Database!$B$4:$B$599981,Sheet2!$E$16,Database!$A$4:$A$599981,Sheet2!D$17,Database!$D$4:$D$599981,Sheet2!$B$16,Database!$C$4:$C$599981,Sheet2!$D$4))</f>
        <v>0</v>
      </c>
      <c r="E22">
        <f>IF($D$4="nasional",SUMIFS(Database!$AC$4:$AC$599981,Database!$B$4:$B$599981,Sheet2!$E$16,Database!$A$4:$A$599981,Sheet2!E$17,Database!$D$4:$D$599981,Sheet2!$B$16),SUMIFS(Database!$AC$4:$AC$599981,Database!$B$4:$B$599981,Sheet2!$E$16,Database!$A$4:$A$599981,Sheet2!E$17,Database!$D$4:$D$599981,Sheet2!$B$16,Database!$C$4:$C$599981,Sheet2!$D$4))</f>
        <v>0</v>
      </c>
      <c r="F22">
        <f>IF($D$4="nasional",SUMIFS(Database!$AC$4:$AC$599981,Database!$B$4:$B$599981,Sheet2!$E$16,Database!$A$4:$A$599981,Sheet2!F$17,Database!$D$4:$D$599981,Sheet2!$B$16),SUMIFS(Database!$AC$4:$AC$599981,Database!$B$4:$B$599981,Sheet2!$E$16,Database!$A$4:$A$599981,Sheet2!F$17,Database!$D$4:$D$599981,Sheet2!$B$16,Database!$C$4:$C$599981,Sheet2!$D$4))</f>
        <v>10000</v>
      </c>
      <c r="G22">
        <f>IF($D$4="nasional",SUMIFS(Database!$AC$4:$AC$599981,Database!$B$4:$B$599981,Sheet2!$E$16,Database!$A$4:$A$599981,Sheet2!G$17,Database!$D$4:$D$599981,Sheet2!$B$16),SUMIFS(Database!$AC$4:$AC$599981,Database!$B$4:$B$599981,Sheet2!$E$16,Database!$A$4:$A$599981,Sheet2!G$17,Database!$D$4:$D$599981,Sheet2!$B$16,Database!$C$4:$C$599981,Sheet2!$D$4))</f>
        <v>2500</v>
      </c>
      <c r="H22">
        <f>IF($D$4="nasional",SUMIFS(Database!$AC$4:$AC$599981,Database!$B$4:$B$599981,Sheet2!$E$16,Database!$A$4:$A$599981,Sheet2!H$17,Database!$D$4:$D$599981,Sheet2!$B$16),SUMIFS(Database!$AC$4:$AC$599981,Database!$B$4:$B$599981,Sheet2!$E$16,Database!$A$4:$A$599981,Sheet2!H$17,Database!$D$4:$D$599981,Sheet2!$B$16,Database!$C$4:$C$599981,Sheet2!$D$4))</f>
        <v>34575</v>
      </c>
      <c r="I22">
        <f>IF($D$4="nasional",SUMIFS(Database!$AC$4:$AC$599981,Database!$B$4:$B$599981,Sheet2!$E$16,Database!$A$4:$A$599981,Sheet2!I$17,Database!$D$4:$D$599981,Sheet2!$B$16),SUMIFS(Database!$AC$4:$AC$599981,Database!$B$4:$B$599981,Sheet2!$E$16,Database!$A$4:$A$599981,Sheet2!I$17,Database!$D$4:$D$599981,Sheet2!$B$16,Database!$C$4:$C$599981,Sheet2!$D$4))</f>
        <v>0</v>
      </c>
      <c r="J22">
        <f>IF($D$4="nasional",SUMIFS(Database!$AC$4:$AC$599981,Database!$B$4:$B$599981,Sheet2!$E$16,Database!$A$4:$A$599981,Sheet2!J$17,Database!$D$4:$D$599981,Sheet2!$B$16),SUMIFS(Database!$AC$4:$AC$599981,Database!$B$4:$B$599981,Sheet2!$E$16,Database!$A$4:$A$599981,Sheet2!J$17,Database!$D$4:$D$599981,Sheet2!$B$16,Database!$C$4:$C$599981,Sheet2!$D$4))</f>
        <v>0</v>
      </c>
      <c r="K22">
        <f>IF($D$4="nasional",SUMIFS(Database!$AC$4:$AC$599981,Database!$B$4:$B$599981,Sheet2!$E$16,Database!$A$4:$A$599981,Sheet2!K$17,Database!$D$4:$D$599981,Sheet2!$B$16),SUMIFS(Database!$AC$4:$AC$599981,Database!$B$4:$B$599981,Sheet2!$E$16,Database!$A$4:$A$599981,Sheet2!K$17,Database!$D$4:$D$599981,Sheet2!$B$16,Database!$C$4:$C$599981,Sheet2!$D$4))</f>
        <v>0</v>
      </c>
      <c r="L22">
        <f>IF($D$4="nasional",SUMIFS(Database!$AC$4:$AC$599981,Database!$B$4:$B$599981,Sheet2!$E$16,Database!$A$4:$A$599981,Sheet2!L$17,Database!$D$4:$D$599981,Sheet2!$B$16),SUMIFS(Database!$AC$4:$AC$599981,Database!$B$4:$B$599981,Sheet2!$E$16,Database!$A$4:$A$599981,Sheet2!L$17,Database!$D$4:$D$599981,Sheet2!$B$16,Database!$C$4:$C$599981,Sheet2!$D$4))</f>
        <v>0</v>
      </c>
      <c r="M22">
        <f>IF($D$4="nasional",SUMIFS(Database!$AC$4:$AC$599981,Database!$B$4:$B$599981,Sheet2!$E$16,Database!$A$4:$A$599981,Sheet2!M$17,Database!$D$4:$D$599981,Sheet2!$B$16),SUMIFS(Database!$AC$4:$AC$599981,Database!$B$4:$B$599981,Sheet2!$E$16,Database!$A$4:$A$599981,Sheet2!M$17,Database!$D$4:$D$599981,Sheet2!$B$16,Database!$C$4:$C$599981,Sheet2!$D$4))</f>
        <v>0</v>
      </c>
      <c r="N22" s="20">
        <f t="shared" si="2"/>
        <v>47075</v>
      </c>
    </row>
    <row r="23" spans="1:25" x14ac:dyDescent="0.35">
      <c r="A23" s="21" t="s">
        <v>7</v>
      </c>
      <c r="B23" s="21">
        <f>SUM(B19:B22)</f>
        <v>0</v>
      </c>
      <c r="C23" s="21">
        <f t="shared" ref="C23:N23" si="3">SUM(C19:C22)</f>
        <v>0</v>
      </c>
      <c r="D23" s="21">
        <f t="shared" si="3"/>
        <v>1200</v>
      </c>
      <c r="E23" s="21">
        <f t="shared" si="3"/>
        <v>0</v>
      </c>
      <c r="F23" s="21">
        <f t="shared" si="3"/>
        <v>10000</v>
      </c>
      <c r="G23" s="21">
        <f t="shared" si="3"/>
        <v>2700</v>
      </c>
      <c r="H23" s="21">
        <f t="shared" si="3"/>
        <v>45250</v>
      </c>
      <c r="I23" s="21">
        <f t="shared" si="3"/>
        <v>0</v>
      </c>
      <c r="J23" s="21">
        <f t="shared" si="3"/>
        <v>0</v>
      </c>
      <c r="K23" s="21">
        <f t="shared" si="3"/>
        <v>0</v>
      </c>
      <c r="L23" s="21">
        <f t="shared" si="3"/>
        <v>0</v>
      </c>
      <c r="M23" s="21">
        <f t="shared" ref="M23" si="4">SUM(M19:M22)</f>
        <v>2500</v>
      </c>
      <c r="N23" s="21">
        <f t="shared" si="3"/>
        <v>58950</v>
      </c>
    </row>
    <row r="24" spans="1:25" x14ac:dyDescent="0.35">
      <c r="A24" t="s">
        <v>14</v>
      </c>
      <c r="B24">
        <f>IF($D$4="nasional",SUMIFS(Database!$AE$4:$AE$599981,Database!$B$4:$B$599981,Sheet2!$E$16,Database!$A$4:$A$599981,Sheet2!B$17,Database!$D$4:$D$599981,Sheet2!$B$16),SUMIFS(Database!$AE$4:$AE$599981,Database!$B$4:$B$599981,Sheet2!$E$16,Database!$A$4:$A$599981,Sheet2!B$17,Database!$D$4:$D$599981,Sheet2!$B$16,Database!$C$4:$C$599981,Sheet2!$D$4))</f>
        <v>0</v>
      </c>
      <c r="C24">
        <f>IF($D$4="nasional",SUMIFS(Database!$AE$4:$AE$599981,Database!$B$4:$B$599981,Sheet2!$E$16,Database!$A$4:$A$599981,Sheet2!C$17,Database!$D$4:$D$599981,Sheet2!$B$16),SUMIFS(Database!$AE$4:$AE$599981,Database!$B$4:$B$599981,Sheet2!$E$16,Database!$A$4:$A$599981,Sheet2!C$17,Database!$D$4:$D$599981,Sheet2!$B$16,Database!$C$4:$C$599981,Sheet2!$D$4))</f>
        <v>0</v>
      </c>
      <c r="D24">
        <f>IF($D$4="nasional",SUMIFS(Database!$AE$4:$AE$599981,Database!$B$4:$B$599981,Sheet2!$E$16,Database!$A$4:$A$599981,Sheet2!D$17,Database!$D$4:$D$599981,Sheet2!$B$16),SUMIFS(Database!$AE$4:$AE$599981,Database!$B$4:$B$599981,Sheet2!$E$16,Database!$A$4:$A$599981,Sheet2!D$17,Database!$D$4:$D$599981,Sheet2!$B$16,Database!$C$4:$C$599981,Sheet2!$D$4))</f>
        <v>700</v>
      </c>
      <c r="E24">
        <f>IF($D$4="nasional",SUMIFS(Database!$AE$4:$AE$599981,Database!$B$4:$B$599981,Sheet2!$E$16,Database!$A$4:$A$599981,Sheet2!E$17,Database!$D$4:$D$599981,Sheet2!$B$16),SUMIFS(Database!$AE$4:$AE$599981,Database!$B$4:$B$599981,Sheet2!$E$16,Database!$A$4:$A$599981,Sheet2!E$17,Database!$D$4:$D$599981,Sheet2!$B$16,Database!$C$4:$C$599981,Sheet2!$D$4))</f>
        <v>0</v>
      </c>
      <c r="F24">
        <f>IF($D$4="nasional",SUMIFS(Database!$AE$4:$AE$599981,Database!$B$4:$B$599981,Sheet2!$E$16,Database!$A$4:$A$599981,Sheet2!F$17,Database!$D$4:$D$599981,Sheet2!$B$16),SUMIFS(Database!$AE$4:$AE$599981,Database!$B$4:$B$599981,Sheet2!$E$16,Database!$A$4:$A$599981,Sheet2!F$17,Database!$D$4:$D$599981,Sheet2!$B$16,Database!$C$4:$C$599981,Sheet2!$D$4))</f>
        <v>500</v>
      </c>
      <c r="G24">
        <f>IF($D$4="nasional",SUMIFS(Database!$AE$4:$AE$599981,Database!$B$4:$B$599981,Sheet2!$E$16,Database!$A$4:$A$599981,Sheet2!G$17,Database!$D$4:$D$599981,Sheet2!$B$16),SUMIFS(Database!$AE$4:$AE$599981,Database!$B$4:$B$599981,Sheet2!$E$16,Database!$A$4:$A$599981,Sheet2!G$17,Database!$D$4:$D$599981,Sheet2!$B$16,Database!$C$4:$C$599981,Sheet2!$D$4))</f>
        <v>1000</v>
      </c>
      <c r="H24">
        <f>IF($D$4="nasional",SUMIFS(Database!$AE$4:$AE$599981,Database!$B$4:$B$599981,Sheet2!$E$16,Database!$A$4:$A$599981,Sheet2!H$17,Database!$D$4:$D$599981,Sheet2!$B$16),SUMIFS(Database!$AE$4:$AE$599981,Database!$B$4:$B$599981,Sheet2!$E$16,Database!$A$4:$A$599981,Sheet2!H$17,Database!$D$4:$D$599981,Sheet2!$B$16,Database!$C$4:$C$599981,Sheet2!$D$4))</f>
        <v>0</v>
      </c>
      <c r="I24">
        <f>IF($D$4="nasional",SUMIFS(Database!$AE$4:$AE$599981,Database!$B$4:$B$599981,Sheet2!$E$16,Database!$A$4:$A$599981,Sheet2!I$17,Database!$D$4:$D$599981,Sheet2!$B$16),SUMIFS(Database!$AE$4:$AE$599981,Database!$B$4:$B$599981,Sheet2!$E$16,Database!$A$4:$A$599981,Sheet2!I$17,Database!$D$4:$D$599981,Sheet2!$B$16,Database!$C$4:$C$599981,Sheet2!$D$4))</f>
        <v>10000</v>
      </c>
      <c r="J24">
        <f>IF($D$4="nasional",SUMIFS(Database!$AE$4:$AE$599981,Database!$B$4:$B$599981,Sheet2!$E$16,Database!$A$4:$A$599981,Sheet2!J$17,Database!$D$4:$D$599981,Sheet2!$B$16),SUMIFS(Database!$AE$4:$AE$599981,Database!$B$4:$B$599981,Sheet2!$E$16,Database!$A$4:$A$599981,Sheet2!J$17,Database!$D$4:$D$599981,Sheet2!$B$16,Database!$C$4:$C$599981,Sheet2!$D$4))</f>
        <v>0</v>
      </c>
      <c r="K24">
        <f>IF($D$4="nasional",SUMIFS(Database!$AE$4:$AE$599981,Database!$B$4:$B$599981,Sheet2!$E$16,Database!$A$4:$A$599981,Sheet2!K$17,Database!$D$4:$D$599981,Sheet2!$B$16),SUMIFS(Database!$AE$4:$AE$599981,Database!$B$4:$B$599981,Sheet2!$E$16,Database!$A$4:$A$599981,Sheet2!K$17,Database!$D$4:$D$599981,Sheet2!$B$16,Database!$C$4:$C$599981,Sheet2!$D$4))</f>
        <v>0</v>
      </c>
      <c r="L24">
        <f>IF($D$4="nasional",SUMIFS(Database!$AE$4:$AE$599981,Database!$B$4:$B$599981,Sheet2!$E$16,Database!$A$4:$A$599981,Sheet2!L$17,Database!$D$4:$D$599981,Sheet2!$B$16),SUMIFS(Database!$AE$4:$AE$599981,Database!$B$4:$B$599981,Sheet2!$E$16,Database!$A$4:$A$599981,Sheet2!L$17,Database!$D$4:$D$599981,Sheet2!$B$16,Database!$C$4:$C$599981,Sheet2!$D$4))</f>
        <v>0</v>
      </c>
      <c r="M24">
        <f>IF($D$4="nasional",SUMIFS(Database!$AE$4:$AE$599981,Database!$B$4:$B$599981,Sheet2!$E$16,Database!$A$4:$A$599981,Sheet2!M$17,Database!$D$4:$D$599981,Sheet2!$B$16),SUMIFS(Database!$AE$4:$AE$599981,Database!$B$4:$B$599981,Sheet2!$E$16,Database!$A$4:$A$599981,Sheet2!M$17,Database!$D$4:$D$599981,Sheet2!$B$16,Database!$C$4:$C$599981,Sheet2!$D$4))</f>
        <v>0</v>
      </c>
      <c r="N24" s="20">
        <f t="shared" si="2"/>
        <v>12200</v>
      </c>
    </row>
    <row r="25" spans="1:25" x14ac:dyDescent="0.35">
      <c r="A25" t="s">
        <v>12</v>
      </c>
      <c r="B25">
        <f>IF($D$4="nasional",SUMIFS(Database!$AA$4:$AA$599981,Database!$B$4:$B$599981,Sheet2!$E$16,Database!$A$4:$A$599981,Sheet2!B$17,Database!$D$4:$D$599981,Sheet2!$B$16),SUMIFS(Database!$AA$4:$AA$599981,Database!$B$4:$B$599981,Sheet2!$E$16,Database!$A$4:$A$599981,Sheet2!B$17,Database!$D$4:$D$599981,Sheet2!$B$16,Database!$C$4:$C$599981,Sheet2!$D$4))</f>
        <v>0</v>
      </c>
      <c r="C25">
        <f>IF($D$4="nasional",SUMIFS(Database!$AA$4:$AA$599981,Database!$B$4:$B$599981,Sheet2!$E$16,Database!$A$4:$A$599981,Sheet2!C$17,Database!$D$4:$D$599981,Sheet2!$B$16),SUMIFS(Database!$AA$4:$AA$599981,Database!$B$4:$B$599981,Sheet2!$E$16,Database!$A$4:$A$599981,Sheet2!C$17,Database!$D$4:$D$599981,Sheet2!$B$16,Database!$C$4:$C$599981,Sheet2!$D$4))</f>
        <v>0</v>
      </c>
      <c r="D25">
        <f>IF($D$4="nasional",SUMIFS(Database!$AA$4:$AA$599981,Database!$B$4:$B$599981,Sheet2!$E$16,Database!$A$4:$A$599981,Sheet2!D$17,Database!$D$4:$D$599981,Sheet2!$B$16),SUMIFS(Database!$AA$4:$AA$599981,Database!$B$4:$B$599981,Sheet2!$E$16,Database!$A$4:$A$599981,Sheet2!D$17,Database!$D$4:$D$599981,Sheet2!$B$16,Database!$C$4:$C$599981,Sheet2!$D$4))</f>
        <v>500</v>
      </c>
      <c r="E25">
        <f>IF($D$4="nasional",SUMIFS(Database!$AA$4:$AA$599981,Database!$B$4:$B$599981,Sheet2!$E$16,Database!$A$4:$A$599981,Sheet2!E$17,Database!$D$4:$D$599981,Sheet2!$B$16),SUMIFS(Database!$AA$4:$AA$599981,Database!$B$4:$B$599981,Sheet2!$E$16,Database!$A$4:$A$599981,Sheet2!E$17,Database!$D$4:$D$599981,Sheet2!$B$16,Database!$C$4:$C$599981,Sheet2!$D$4))</f>
        <v>0</v>
      </c>
      <c r="F25">
        <f>IF($D$4="nasional",SUMIFS(Database!$AA$4:$AA$599981,Database!$B$4:$B$599981,Sheet2!$E$16,Database!$A$4:$A$599981,Sheet2!F$17,Database!$D$4:$D$599981,Sheet2!$B$16),SUMIFS(Database!$AA$4:$AA$599981,Database!$B$4:$B$599981,Sheet2!$E$16,Database!$A$4:$A$599981,Sheet2!F$17,Database!$D$4:$D$599981,Sheet2!$B$16,Database!$C$4:$C$599981,Sheet2!$D$4))</f>
        <v>0</v>
      </c>
      <c r="G25">
        <f>IF($D$4="nasional",SUMIFS(Database!$AA$4:$AA$599981,Database!$B$4:$B$599981,Sheet2!$E$16,Database!$A$4:$A$599981,Sheet2!G$17,Database!$D$4:$D$599981,Sheet2!$B$16),SUMIFS(Database!$AA$4:$AA$599981,Database!$B$4:$B$599981,Sheet2!$E$16,Database!$A$4:$A$599981,Sheet2!G$17,Database!$D$4:$D$599981,Sheet2!$B$16,Database!$C$4:$C$599981,Sheet2!$D$4))</f>
        <v>0</v>
      </c>
      <c r="H25">
        <f>IF($D$4="nasional",SUMIFS(Database!$AA$4:$AA$599981,Database!$B$4:$B$599981,Sheet2!$E$16,Database!$A$4:$A$599981,Sheet2!H$17,Database!$D$4:$D$599981,Sheet2!$B$16),SUMIFS(Database!$AA$4:$AA$599981,Database!$B$4:$B$599981,Sheet2!$E$16,Database!$A$4:$A$599981,Sheet2!H$17,Database!$D$4:$D$599981,Sheet2!$B$16,Database!$C$4:$C$599981,Sheet2!$D$4))</f>
        <v>500</v>
      </c>
      <c r="I25">
        <f>IF($D$4="nasional",SUMIFS(Database!$AA$4:$AA$599981,Database!$B$4:$B$599981,Sheet2!$E$16,Database!$A$4:$A$599981,Sheet2!I$17,Database!$D$4:$D$599981,Sheet2!$B$16),SUMIFS(Database!$AA$4:$AA$599981,Database!$B$4:$B$599981,Sheet2!$E$16,Database!$A$4:$A$599981,Sheet2!I$17,Database!$D$4:$D$599981,Sheet2!$B$16,Database!$C$4:$C$599981,Sheet2!$D$4))</f>
        <v>0</v>
      </c>
      <c r="J25">
        <f>IF($D$4="nasional",SUMIFS(Database!$AA$4:$AA$599981,Database!$B$4:$B$599981,Sheet2!$E$16,Database!$A$4:$A$599981,Sheet2!J$17,Database!$D$4:$D$599981,Sheet2!$B$16),SUMIFS(Database!$AA$4:$AA$599981,Database!$B$4:$B$599981,Sheet2!$E$16,Database!$A$4:$A$599981,Sheet2!J$17,Database!$D$4:$D$599981,Sheet2!$B$16,Database!$C$4:$C$599981,Sheet2!$D$4))</f>
        <v>0</v>
      </c>
      <c r="K25">
        <f>IF($D$4="nasional",SUMIFS(Database!$AA$4:$AA$599981,Database!$B$4:$B$599981,Sheet2!$E$16,Database!$A$4:$A$599981,Sheet2!K$17,Database!$D$4:$D$599981,Sheet2!$B$16),SUMIFS(Database!$AA$4:$AA$599981,Database!$B$4:$B$599981,Sheet2!$E$16,Database!$A$4:$A$599981,Sheet2!K$17,Database!$D$4:$D$599981,Sheet2!$B$16,Database!$C$4:$C$599981,Sheet2!$D$4))</f>
        <v>0</v>
      </c>
      <c r="L25">
        <f>IF($D$4="nasional",SUMIFS(Database!$AA$4:$AA$599981,Database!$B$4:$B$599981,Sheet2!$E$16,Database!$A$4:$A$599981,Sheet2!L$17,Database!$D$4:$D$599981,Sheet2!$B$16),SUMIFS(Database!$AA$4:$AA$599981,Database!$B$4:$B$599981,Sheet2!$E$16,Database!$A$4:$A$599981,Sheet2!L$17,Database!$D$4:$D$599981,Sheet2!$B$16,Database!$C$4:$C$599981,Sheet2!$D$4))</f>
        <v>0</v>
      </c>
      <c r="M25">
        <f>IF($D$4="nasional",SUMIFS(Database!$AA$4:$AA$599981,Database!$B$4:$B$599981,Sheet2!$E$16,Database!$A$4:$A$599981,Sheet2!M$17,Database!$D$4:$D$599981,Sheet2!$B$16),SUMIFS(Database!$AA$4:$AA$599981,Database!$B$4:$B$599981,Sheet2!$E$16,Database!$A$4:$A$599981,Sheet2!M$17,Database!$D$4:$D$599981,Sheet2!$B$16,Database!$C$4:$C$599981,Sheet2!$D$4))</f>
        <v>0</v>
      </c>
      <c r="N25" s="20">
        <f t="shared" si="2"/>
        <v>1000</v>
      </c>
    </row>
    <row r="26" spans="1:25" x14ac:dyDescent="0.35">
      <c r="A26" t="s">
        <v>15</v>
      </c>
      <c r="B26">
        <f>IF($D$4="nasional",SUMIFS(Database!$AB$4:$AB$599981,Database!$B$4:$B$599981,Sheet2!$E$16,Database!$A$4:$A$599981,Sheet2!B$17,Database!$D$4:$D$599981,Sheet2!$B$16),SUMIFS(Database!$AB$4:$AB$599981,Database!$B$4:$B$599981,Sheet2!$E$16,Database!$A$4:$A$599981,Sheet2!B$17,Database!$D$4:$D$599981,Sheet2!$B$16,Database!$C$4:$C$599981,Sheet2!$D$4))</f>
        <v>0</v>
      </c>
      <c r="C26">
        <f>IF($D$4="nasional",SUMIFS(Database!$AB$4:$AB$599981,Database!$B$4:$B$599981,Sheet2!$E$16,Database!$A$4:$A$599981,Sheet2!C$17,Database!$D$4:$D$599981,Sheet2!$B$16),SUMIFS(Database!$AB$4:$AB$599981,Database!$B$4:$B$599981,Sheet2!$E$16,Database!$A$4:$A$599981,Sheet2!C$17,Database!$D$4:$D$599981,Sheet2!$B$16,Database!$C$4:$C$599981,Sheet2!$D$4))</f>
        <v>0</v>
      </c>
      <c r="D26">
        <f>IF($D$4="nasional",SUMIFS(Database!$AB$4:$AB$599981,Database!$B$4:$B$599981,Sheet2!$E$16,Database!$A$4:$A$599981,Sheet2!D$17,Database!$D$4:$D$599981,Sheet2!$B$16),SUMIFS(Database!$AB$4:$AB$599981,Database!$B$4:$B$599981,Sheet2!$E$16,Database!$A$4:$A$599981,Sheet2!D$17,Database!$D$4:$D$599981,Sheet2!$B$16,Database!$C$4:$C$599981,Sheet2!$D$4))</f>
        <v>0</v>
      </c>
      <c r="E26">
        <f>IF($D$4="nasional",SUMIFS(Database!$AB$4:$AB$599981,Database!$B$4:$B$599981,Sheet2!$E$16,Database!$A$4:$A$599981,Sheet2!E$17,Database!$D$4:$D$599981,Sheet2!$B$16),SUMIFS(Database!$AB$4:$AB$599981,Database!$B$4:$B$599981,Sheet2!$E$16,Database!$A$4:$A$599981,Sheet2!E$17,Database!$D$4:$D$599981,Sheet2!$B$16,Database!$C$4:$C$599981,Sheet2!$D$4))</f>
        <v>0</v>
      </c>
      <c r="F26">
        <f>IF($D$4="nasional",SUMIFS(Database!$AB$4:$AB$599981,Database!$B$4:$B$599981,Sheet2!$E$16,Database!$A$4:$A$599981,Sheet2!F$17,Database!$D$4:$D$599981,Sheet2!$B$16),SUMIFS(Database!$AB$4:$AB$599981,Database!$B$4:$B$599981,Sheet2!$E$16,Database!$A$4:$A$599981,Sheet2!F$17,Database!$D$4:$D$599981,Sheet2!$B$16,Database!$C$4:$C$599981,Sheet2!$D$4))</f>
        <v>0</v>
      </c>
      <c r="G26">
        <f>IF($D$4="nasional",SUMIFS(Database!$AB$4:$AB$599981,Database!$B$4:$B$599981,Sheet2!$E$16,Database!$A$4:$A$599981,Sheet2!G$17,Database!$D$4:$D$599981,Sheet2!$B$16),SUMIFS(Database!$AB$4:$AB$599981,Database!$B$4:$B$599981,Sheet2!$E$16,Database!$A$4:$A$599981,Sheet2!G$17,Database!$D$4:$D$599981,Sheet2!$B$16,Database!$C$4:$C$599981,Sheet2!$D$4))</f>
        <v>1000</v>
      </c>
      <c r="H26">
        <f>IF($D$4="nasional",SUMIFS(Database!$AB$4:$AB$599981,Database!$B$4:$B$599981,Sheet2!$E$16,Database!$A$4:$A$599981,Sheet2!H$17,Database!$D$4:$D$599981,Sheet2!$B$16),SUMIFS(Database!$AB$4:$AB$599981,Database!$B$4:$B$599981,Sheet2!$E$16,Database!$A$4:$A$599981,Sheet2!H$17,Database!$D$4:$D$599981,Sheet2!$B$16,Database!$C$4:$C$599981,Sheet2!$D$4))</f>
        <v>0</v>
      </c>
      <c r="I26">
        <f>IF($D$4="nasional",SUMIFS(Database!$AB$4:$AB$599981,Database!$B$4:$B$599981,Sheet2!$E$16,Database!$A$4:$A$599981,Sheet2!I$17,Database!$D$4:$D$599981,Sheet2!$B$16),SUMIFS(Database!$AB$4:$AB$599981,Database!$B$4:$B$599981,Sheet2!$E$16,Database!$A$4:$A$599981,Sheet2!I$17,Database!$D$4:$D$599981,Sheet2!$B$16,Database!$C$4:$C$599981,Sheet2!$D$4))</f>
        <v>500</v>
      </c>
      <c r="J26">
        <f>IF($D$4="nasional",SUMIFS(Database!$AB$4:$AB$599981,Database!$B$4:$B$599981,Sheet2!$E$16,Database!$A$4:$A$599981,Sheet2!J$17,Database!$D$4:$D$599981,Sheet2!$B$16),SUMIFS(Database!$AB$4:$AB$599981,Database!$B$4:$B$599981,Sheet2!$E$16,Database!$A$4:$A$599981,Sheet2!J$17,Database!$D$4:$D$599981,Sheet2!$B$16,Database!$C$4:$C$599981,Sheet2!$D$4))</f>
        <v>0</v>
      </c>
      <c r="K26">
        <f>IF($D$4="nasional",SUMIFS(Database!$AB$4:$AB$599981,Database!$B$4:$B$599981,Sheet2!$E$16,Database!$A$4:$A$599981,Sheet2!K$17,Database!$D$4:$D$599981,Sheet2!$B$16),SUMIFS(Database!$AB$4:$AB$599981,Database!$B$4:$B$599981,Sheet2!$E$16,Database!$A$4:$A$599981,Sheet2!K$17,Database!$D$4:$D$599981,Sheet2!$B$16,Database!$C$4:$C$599981,Sheet2!$D$4))</f>
        <v>2500</v>
      </c>
      <c r="L26">
        <f>IF($D$4="nasional",SUMIFS(Database!$AB$4:$AB$599981,Database!$B$4:$B$599981,Sheet2!$E$16,Database!$A$4:$A$599981,Sheet2!L$17,Database!$D$4:$D$599981,Sheet2!$B$16),SUMIFS(Database!$AB$4:$AB$599981,Database!$B$4:$B$599981,Sheet2!$E$16,Database!$A$4:$A$599981,Sheet2!L$17,Database!$D$4:$D$599981,Sheet2!$B$16,Database!$C$4:$C$599981,Sheet2!$D$4))</f>
        <v>2500</v>
      </c>
      <c r="M26">
        <f>IF($D$4="nasional",SUMIFS(Database!$AB$4:$AB$599981,Database!$B$4:$B$599981,Sheet2!$E$16,Database!$A$4:$A$599981,Sheet2!M$17,Database!$D$4:$D$599981,Sheet2!$B$16),SUMIFS(Database!$AB$4:$AB$599981,Database!$B$4:$B$599981,Sheet2!$E$16,Database!$A$4:$A$599981,Sheet2!M$17,Database!$D$4:$D$599981,Sheet2!$B$16,Database!$C$4:$C$599981,Sheet2!$D$4))</f>
        <v>300</v>
      </c>
      <c r="N26" s="20">
        <f t="shared" si="2"/>
        <v>6800</v>
      </c>
    </row>
    <row r="27" spans="1:25" x14ac:dyDescent="0.35">
      <c r="A27" t="s">
        <v>16</v>
      </c>
      <c r="B27">
        <f>IF($D$4="nasional",SUMIFS(Database!$Z$4:$Z$599981,Database!$B$4:$B$599981,Sheet2!$E$16,Database!$A$4:$A$599981,Sheet2!B$17,Database!$D$4:$D$599981,Sheet2!$B$16),SUMIFS(Database!$Z$4:$Z$599981,Database!$B$4:$B$599981,Sheet2!$E$16,Database!$A$4:$A$599981,Sheet2!B$17,Database!$D$4:$D$599981,Sheet2!$B$16,Database!$C$4:$C$599981,Sheet2!$D$4))</f>
        <v>0</v>
      </c>
      <c r="C27">
        <f>IF($D$4="nasional",SUMIFS(Database!$Z$4:$Z$599981,Database!$B$4:$B$599981,Sheet2!$E$16,Database!$A$4:$A$599981,Sheet2!C$17,Database!$D$4:$D$599981,Sheet2!$B$16),SUMIFS(Database!$Z$4:$Z$599981,Database!$B$4:$B$599981,Sheet2!$E$16,Database!$A$4:$A$599981,Sheet2!C$17,Database!$D$4:$D$599981,Sheet2!$B$16,Database!$C$4:$C$599981,Sheet2!$D$4))</f>
        <v>0</v>
      </c>
      <c r="D27">
        <f>IF($D$4="nasional",SUMIFS(Database!$Z$4:$Z$599981,Database!$B$4:$B$599981,Sheet2!$E$16,Database!$A$4:$A$599981,Sheet2!D$17,Database!$D$4:$D$599981,Sheet2!$B$16),SUMIFS(Database!$Z$4:$Z$599981,Database!$B$4:$B$599981,Sheet2!$E$16,Database!$A$4:$A$599981,Sheet2!D$17,Database!$D$4:$D$599981,Sheet2!$B$16,Database!$C$4:$C$599981,Sheet2!$D$4))</f>
        <v>12000</v>
      </c>
      <c r="E27">
        <f>IF($D$4="nasional",SUMIFS(Database!$Z$4:$Z$599981,Database!$B$4:$B$599981,Sheet2!$E$16,Database!$A$4:$A$599981,Sheet2!E$17,Database!$D$4:$D$599981,Sheet2!$B$16),SUMIFS(Database!$Z$4:$Z$599981,Database!$B$4:$B$599981,Sheet2!$E$16,Database!$A$4:$A$599981,Sheet2!E$17,Database!$D$4:$D$599981,Sheet2!$B$16,Database!$C$4:$C$599981,Sheet2!$D$4))</f>
        <v>0</v>
      </c>
      <c r="F27">
        <f>IF($D$4="nasional",SUMIFS(Database!$Z$4:$Z$599981,Database!$B$4:$B$599981,Sheet2!$E$16,Database!$A$4:$A$599981,Sheet2!F$17,Database!$D$4:$D$599981,Sheet2!$B$16),SUMIFS(Database!$Z$4:$Z$599981,Database!$B$4:$B$599981,Sheet2!$E$16,Database!$A$4:$A$599981,Sheet2!F$17,Database!$D$4:$D$599981,Sheet2!$B$16,Database!$C$4:$C$599981,Sheet2!$D$4))</f>
        <v>500</v>
      </c>
      <c r="G27">
        <f>IF($D$4="nasional",SUMIFS(Database!$Z$4:$Z$599981,Database!$B$4:$B$599981,Sheet2!$E$16,Database!$A$4:$A$599981,Sheet2!G$17,Database!$D$4:$D$599981,Sheet2!$B$16),SUMIFS(Database!$Z$4:$Z$599981,Database!$B$4:$B$599981,Sheet2!$E$16,Database!$A$4:$A$599981,Sheet2!G$17,Database!$D$4:$D$599981,Sheet2!$B$16,Database!$C$4:$C$599981,Sheet2!$D$4))</f>
        <v>2500</v>
      </c>
      <c r="H27">
        <f>IF($D$4="nasional",SUMIFS(Database!$Z$4:$Z$599981,Database!$B$4:$B$599981,Sheet2!$E$16,Database!$A$4:$A$599981,Sheet2!H$17,Database!$D$4:$D$599981,Sheet2!$B$16),SUMIFS(Database!$Z$4:$Z$599981,Database!$B$4:$B$599981,Sheet2!$E$16,Database!$A$4:$A$599981,Sheet2!H$17,Database!$D$4:$D$599981,Sheet2!$B$16,Database!$C$4:$C$599981,Sheet2!$D$4))</f>
        <v>0</v>
      </c>
      <c r="I27">
        <f>IF($D$4="nasional",SUMIFS(Database!$Z$4:$Z$599981,Database!$B$4:$B$599981,Sheet2!$E$16,Database!$A$4:$A$599981,Sheet2!I$17,Database!$D$4:$D$599981,Sheet2!$B$16),SUMIFS(Database!$Z$4:$Z$599981,Database!$B$4:$B$599981,Sheet2!$E$16,Database!$A$4:$A$599981,Sheet2!I$17,Database!$D$4:$D$599981,Sheet2!$B$16,Database!$C$4:$C$599981,Sheet2!$D$4))</f>
        <v>2500</v>
      </c>
      <c r="J27">
        <f>IF($D$4="nasional",SUMIFS(Database!$Z$4:$Z$599981,Database!$B$4:$B$599981,Sheet2!$E$16,Database!$A$4:$A$599981,Sheet2!J$17,Database!$D$4:$D$599981,Sheet2!$B$16),SUMIFS(Database!$Z$4:$Z$599981,Database!$B$4:$B$599981,Sheet2!$E$16,Database!$A$4:$A$599981,Sheet2!J$17,Database!$D$4:$D$599981,Sheet2!$B$16,Database!$C$4:$C$599981,Sheet2!$D$4))</f>
        <v>0</v>
      </c>
      <c r="K27">
        <f>IF($D$4="nasional",SUMIFS(Database!$Z$4:$Z$599981,Database!$B$4:$B$599981,Sheet2!$E$16,Database!$A$4:$A$599981,Sheet2!K$17,Database!$D$4:$D$599981,Sheet2!$B$16),SUMIFS(Database!$Z$4:$Z$599981,Database!$B$4:$B$599981,Sheet2!$E$16,Database!$A$4:$A$599981,Sheet2!K$17,Database!$D$4:$D$599981,Sheet2!$B$16,Database!$C$4:$C$599981,Sheet2!$D$4))</f>
        <v>300</v>
      </c>
      <c r="L27">
        <f>IF($D$4="nasional",SUMIFS(Database!$Z$4:$Z$599981,Database!$B$4:$B$599981,Sheet2!$E$16,Database!$A$4:$A$599981,Sheet2!L$17,Database!$D$4:$D$599981,Sheet2!$B$16),SUMIFS(Database!$Z$4:$Z$599981,Database!$B$4:$B$599981,Sheet2!$E$16,Database!$A$4:$A$599981,Sheet2!L$17,Database!$D$4:$D$599981,Sheet2!$B$16,Database!$C$4:$C$599981,Sheet2!$D$4))</f>
        <v>300</v>
      </c>
      <c r="M27">
        <f>IF($D$4="nasional",SUMIFS(Database!$Z$4:$Z$599981,Database!$B$4:$B$599981,Sheet2!$E$16,Database!$A$4:$A$599981,Sheet2!M$17,Database!$D$4:$D$599981,Sheet2!$B$16),SUMIFS(Database!$Z$4:$Z$599981,Database!$B$4:$B$599981,Sheet2!$E$16,Database!$A$4:$A$599981,Sheet2!M$17,Database!$D$4:$D$599981,Sheet2!$B$16,Database!$C$4:$C$599981,Sheet2!$D$4))</f>
        <v>0</v>
      </c>
      <c r="N27" s="20">
        <f t="shared" si="2"/>
        <v>18100</v>
      </c>
    </row>
    <row r="28" spans="1:25" x14ac:dyDescent="0.35">
      <c r="A28" t="s">
        <v>13</v>
      </c>
      <c r="B28">
        <f>IF($D$4="nasional",SUMIFS(Database!$AG$4:$AG$599981,Database!$B$4:$B$599981,Sheet2!$E$16,Database!$A$4:$A$599981,Sheet2!B$17,Database!$D$4:$D$599981,Sheet2!$B$16),SUMIFS(Database!$AG$4:$AG$599981,Database!$B$4:$B$599981,Sheet2!$E$16,Database!$A$4:$A$599981,Sheet2!B$17,Database!$D$4:$D$599981,Sheet2!$B$16,Database!$C$4:$C$599981,Sheet2!$D$4))</f>
        <v>0</v>
      </c>
      <c r="C28">
        <f>IF($D$4="nasional",SUMIFS(Database!$AG$4:$AG$599981,Database!$B$4:$B$599981,Sheet2!$E$16,Database!$A$4:$A$599981,Sheet2!C$17,Database!$D$4:$D$599981,Sheet2!$B$16),SUMIFS(Database!$AG$4:$AG$599981,Database!$B$4:$B$599981,Sheet2!$E$16,Database!$A$4:$A$599981,Sheet2!C$17,Database!$D$4:$D$599981,Sheet2!$B$16,Database!$C$4:$C$599981,Sheet2!$D$4))</f>
        <v>0</v>
      </c>
      <c r="D28">
        <f>IF($D$4="nasional",SUMIFS(Database!$AG$4:$AG$599981,Database!$B$4:$B$599981,Sheet2!$E$16,Database!$A$4:$A$599981,Sheet2!D$17,Database!$D$4:$D$599981,Sheet2!$B$16),SUMIFS(Database!$AG$4:$AG$599981,Database!$B$4:$B$599981,Sheet2!$E$16,Database!$A$4:$A$599981,Sheet2!D$17,Database!$D$4:$D$599981,Sheet2!$B$16,Database!$C$4:$C$599981,Sheet2!$D$4))</f>
        <v>1000</v>
      </c>
      <c r="E28">
        <f>IF($D$4="nasional",SUMIFS(Database!$AG$4:$AG$599981,Database!$B$4:$B$599981,Sheet2!$E$16,Database!$A$4:$A$599981,Sheet2!E$17,Database!$D$4:$D$599981,Sheet2!$B$16),SUMIFS(Database!$AG$4:$AG$599981,Database!$B$4:$B$599981,Sheet2!$E$16,Database!$A$4:$A$599981,Sheet2!E$17,Database!$D$4:$D$599981,Sheet2!$B$16,Database!$C$4:$C$599981,Sheet2!$D$4))</f>
        <v>0</v>
      </c>
      <c r="F28">
        <f>IF($D$4="nasional",SUMIFS(Database!$AG$4:$AG$599981,Database!$B$4:$B$599981,Sheet2!$E$16,Database!$A$4:$A$599981,Sheet2!F$17,Database!$D$4:$D$599981,Sheet2!$B$16),SUMIFS(Database!$AG$4:$AG$599981,Database!$B$4:$B$599981,Sheet2!$E$16,Database!$A$4:$A$599981,Sheet2!F$17,Database!$D$4:$D$599981,Sheet2!$B$16,Database!$C$4:$C$599981,Sheet2!$D$4))</f>
        <v>0</v>
      </c>
      <c r="G28">
        <f>IF($D$4="nasional",SUMIFS(Database!$AG$4:$AG$599981,Database!$B$4:$B$599981,Sheet2!$E$16,Database!$A$4:$A$599981,Sheet2!G$17,Database!$D$4:$D$599981,Sheet2!$B$16),SUMIFS(Database!$AG$4:$AG$599981,Database!$B$4:$B$599981,Sheet2!$E$16,Database!$A$4:$A$599981,Sheet2!G$17,Database!$D$4:$D$599981,Sheet2!$B$16,Database!$C$4:$C$599981,Sheet2!$D$4))</f>
        <v>0</v>
      </c>
      <c r="H28">
        <f>IF($D$4="nasional",SUMIFS(Database!$AG$4:$AG$599981,Database!$B$4:$B$599981,Sheet2!$E$16,Database!$A$4:$A$599981,Sheet2!H$17,Database!$D$4:$D$599981,Sheet2!$B$16),SUMIFS(Database!$AG$4:$AG$599981,Database!$B$4:$B$599981,Sheet2!$E$16,Database!$A$4:$A$599981,Sheet2!H$17,Database!$D$4:$D$599981,Sheet2!$B$16,Database!$C$4:$C$599981,Sheet2!$D$4))</f>
        <v>0</v>
      </c>
      <c r="I28">
        <f>IF($D$4="nasional",SUMIFS(Database!$AG$4:$AG$599981,Database!$B$4:$B$599981,Sheet2!$E$16,Database!$A$4:$A$599981,Sheet2!I$17,Database!$D$4:$D$599981,Sheet2!$B$16),SUMIFS(Database!$AG$4:$AG$599981,Database!$B$4:$B$599981,Sheet2!$E$16,Database!$A$4:$A$599981,Sheet2!I$17,Database!$D$4:$D$599981,Sheet2!$B$16,Database!$C$4:$C$599981,Sheet2!$D$4))</f>
        <v>500</v>
      </c>
      <c r="J28">
        <f>IF($D$4="nasional",SUMIFS(Database!$AG$4:$AG$599981,Database!$B$4:$B$599981,Sheet2!$E$16,Database!$A$4:$A$599981,Sheet2!J$17,Database!$D$4:$D$599981,Sheet2!$B$16),SUMIFS(Database!$AG$4:$AG$599981,Database!$B$4:$B$599981,Sheet2!$E$16,Database!$A$4:$A$599981,Sheet2!J$17,Database!$D$4:$D$599981,Sheet2!$B$16,Database!$C$4:$C$599981,Sheet2!$D$4))</f>
        <v>0</v>
      </c>
      <c r="K28">
        <f>IF($D$4="nasional",SUMIFS(Database!$AG$4:$AG$599981,Database!$B$4:$B$599981,Sheet2!$E$16,Database!$A$4:$A$599981,Sheet2!K$17,Database!$D$4:$D$599981,Sheet2!$B$16),SUMIFS(Database!$AG$4:$AG$599981,Database!$B$4:$B$599981,Sheet2!$E$16,Database!$A$4:$A$599981,Sheet2!K$17,Database!$D$4:$D$599981,Sheet2!$B$16,Database!$C$4:$C$599981,Sheet2!$D$4))</f>
        <v>2500</v>
      </c>
      <c r="L28">
        <f>IF($D$4="nasional",SUMIFS(Database!$AG$4:$AG$599981,Database!$B$4:$B$599981,Sheet2!$E$16,Database!$A$4:$A$599981,Sheet2!L$17,Database!$D$4:$D$599981,Sheet2!$B$16),SUMIFS(Database!$AG$4:$AG$599981,Database!$B$4:$B$599981,Sheet2!$E$16,Database!$A$4:$A$599981,Sheet2!L$17,Database!$D$4:$D$599981,Sheet2!$B$16,Database!$C$4:$C$599981,Sheet2!$D$4))</f>
        <v>2500</v>
      </c>
      <c r="M28">
        <f>IF($D$4="nasional",SUMIFS(Database!$AG$4:$AG$599981,Database!$B$4:$B$599981,Sheet2!$E$16,Database!$A$4:$A$599981,Sheet2!M$17,Database!$D$4:$D$599981,Sheet2!$B$16),SUMIFS(Database!$AG$4:$AG$599981,Database!$B$4:$B$599981,Sheet2!$E$16,Database!$A$4:$A$599981,Sheet2!M$17,Database!$D$4:$D$599981,Sheet2!$B$16,Database!$C$4:$C$599981,Sheet2!$D$4))</f>
        <v>0</v>
      </c>
      <c r="N28" s="20">
        <f t="shared" si="2"/>
        <v>6500</v>
      </c>
    </row>
    <row r="29" spans="1:25" x14ac:dyDescent="0.35">
      <c r="A29" t="s">
        <v>90</v>
      </c>
      <c r="B29">
        <f>IF($D$4="nasional",SUMIFS(Database!$AH$4:$AH$599981,Database!$B$4:$B$599981,Sheet2!$E$16,Database!$A$4:$A$599981,Sheet2!B$17,Database!$D$4:$D$599981,Sheet2!$B$16),SUMIFS(Database!$AH$4:$AH$599981,Database!$B$4:$B$599981,Sheet2!$E$16,Database!$A$4:$A$599981,Sheet2!B$17,Database!$D$4:$D$599981,Sheet2!$B$16,Database!$C$4:$C$599981,Sheet2!$D$4))</f>
        <v>0</v>
      </c>
      <c r="C29">
        <f>IF($D$4="nasional",SUMIFS(Database!$AH$4:$AH$599981,Database!$B$4:$B$599981,Sheet2!$E$16,Database!$A$4:$A$599981,Sheet2!C$17,Database!$D$4:$D$599981,Sheet2!$B$16),SUMIFS(Database!$AH$4:$AH$599981,Database!$B$4:$B$599981,Sheet2!$E$16,Database!$A$4:$A$599981,Sheet2!C$17,Database!$D$4:$D$599981,Sheet2!$B$16,Database!$C$4:$C$599981,Sheet2!$D$4))</f>
        <v>0</v>
      </c>
      <c r="D29">
        <f>IF($D$4="nasional",SUMIFS(Database!$AH$4:$AH$599981,Database!$B$4:$B$599981,Sheet2!$E$16,Database!$A$4:$A$599981,Sheet2!D$17,Database!$D$4:$D$599981,Sheet2!$B$16),SUMIFS(Database!$AH$4:$AH$599981,Database!$B$4:$B$599981,Sheet2!$E$16,Database!$A$4:$A$599981,Sheet2!D$17,Database!$D$4:$D$599981,Sheet2!$B$16,Database!$C$4:$C$599981,Sheet2!$D$4))</f>
        <v>0</v>
      </c>
      <c r="E29">
        <f>IF($D$4="nasional",SUMIFS(Database!$AH$4:$AH$599981,Database!$B$4:$B$599981,Sheet2!$E$16,Database!$A$4:$A$599981,Sheet2!E$17,Database!$D$4:$D$599981,Sheet2!$B$16),SUMIFS(Database!$AH$4:$AH$599981,Database!$B$4:$B$599981,Sheet2!$E$16,Database!$A$4:$A$599981,Sheet2!E$17,Database!$D$4:$D$599981,Sheet2!$B$16,Database!$C$4:$C$599981,Sheet2!$D$4))</f>
        <v>0</v>
      </c>
      <c r="F29">
        <f>IF($D$4="nasional",SUMIFS(Database!$AH$4:$AH$599981,Database!$B$4:$B$599981,Sheet2!$E$16,Database!$A$4:$A$599981,Sheet2!F$17,Database!$D$4:$D$599981,Sheet2!$B$16),SUMIFS(Database!$AH$4:$AH$599981,Database!$B$4:$B$599981,Sheet2!$E$16,Database!$A$4:$A$599981,Sheet2!F$17,Database!$D$4:$D$599981,Sheet2!$B$16,Database!$C$4:$C$599981,Sheet2!$D$4))</f>
        <v>0</v>
      </c>
      <c r="G29">
        <f>IF($D$4="nasional",SUMIFS(Database!$AH$4:$AH$599981,Database!$B$4:$B$599981,Sheet2!$E$16,Database!$A$4:$A$599981,Sheet2!G$17,Database!$D$4:$D$599981,Sheet2!$B$16),SUMIFS(Database!$AH$4:$AH$599981,Database!$B$4:$B$599981,Sheet2!$E$16,Database!$A$4:$A$599981,Sheet2!G$17,Database!$D$4:$D$599981,Sheet2!$B$16,Database!$C$4:$C$599981,Sheet2!$D$4))</f>
        <v>0</v>
      </c>
      <c r="H29">
        <f>IF($D$4="nasional",SUMIFS(Database!$AH$4:$AH$599981,Database!$B$4:$B$599981,Sheet2!$E$16,Database!$A$4:$A$599981,Sheet2!H$17,Database!$D$4:$D$599981,Sheet2!$B$16),SUMIFS(Database!$AH$4:$AH$599981,Database!$B$4:$B$599981,Sheet2!$E$16,Database!$A$4:$A$599981,Sheet2!H$17,Database!$D$4:$D$599981,Sheet2!$B$16,Database!$C$4:$C$599981,Sheet2!$D$4))</f>
        <v>1000</v>
      </c>
      <c r="I29">
        <f>IF($D$4="nasional",SUMIFS(Database!$AH$4:$AH$599981,Database!$B$4:$B$599981,Sheet2!$E$16,Database!$A$4:$A$599981,Sheet2!I$17,Database!$D$4:$D$599981,Sheet2!$B$16),SUMIFS(Database!$AH$4:$AH$599981,Database!$B$4:$B$599981,Sheet2!$E$16,Database!$A$4:$A$599981,Sheet2!I$17,Database!$D$4:$D$599981,Sheet2!$B$16,Database!$C$4:$C$599981,Sheet2!$D$4))</f>
        <v>0</v>
      </c>
      <c r="J29">
        <f>IF($D$4="nasional",SUMIFS(Database!$AH$4:$AH$599981,Database!$B$4:$B$599981,Sheet2!$E$16,Database!$A$4:$A$599981,Sheet2!J$17,Database!$D$4:$D$599981,Sheet2!$B$16),SUMIFS(Database!$AH$4:$AH$599981,Database!$B$4:$B$599981,Sheet2!$E$16,Database!$A$4:$A$599981,Sheet2!J$17,Database!$D$4:$D$599981,Sheet2!$B$16,Database!$C$4:$C$599981,Sheet2!$D$4))</f>
        <v>0</v>
      </c>
      <c r="K29">
        <f>IF($D$4="nasional",SUMIFS(Database!$AH$4:$AH$599981,Database!$B$4:$B$599981,Sheet2!$E$16,Database!$A$4:$A$599981,Sheet2!K$17,Database!$D$4:$D$599981,Sheet2!$B$16),SUMIFS(Database!$AH$4:$AH$599981,Database!$B$4:$B$599981,Sheet2!$E$16,Database!$A$4:$A$599981,Sheet2!K$17,Database!$D$4:$D$599981,Sheet2!$B$16,Database!$C$4:$C$599981,Sheet2!$D$4))</f>
        <v>0</v>
      </c>
      <c r="L29">
        <f>IF($D$4="nasional",SUMIFS(Database!$AH$4:$AH$599981,Database!$B$4:$B$599981,Sheet2!$E$16,Database!$A$4:$A$599981,Sheet2!L$17,Database!$D$4:$D$599981,Sheet2!$B$16),SUMIFS(Database!$AH$4:$AH$599981,Database!$B$4:$B$599981,Sheet2!$E$16,Database!$A$4:$A$599981,Sheet2!L$17,Database!$D$4:$D$599981,Sheet2!$B$16,Database!$C$4:$C$599981,Sheet2!$D$4))</f>
        <v>0</v>
      </c>
      <c r="M29">
        <f>IF($D$4="nasional",SUMIFS(Database!$AH$4:$AH$599981,Database!$B$4:$B$599981,Sheet2!$E$16,Database!$A$4:$A$599981,Sheet2!M$17,Database!$D$4:$D$599981,Sheet2!$B$16),SUMIFS(Database!$AH$4:$AH$599981,Database!$B$4:$B$599981,Sheet2!$E$16,Database!$A$4:$A$599981,Sheet2!M$17,Database!$D$4:$D$599981,Sheet2!$B$16,Database!$C$4:$C$599981,Sheet2!$D$4))</f>
        <v>0</v>
      </c>
      <c r="N29" s="20">
        <f t="shared" si="2"/>
        <v>1000</v>
      </c>
    </row>
    <row r="30" spans="1:25" x14ac:dyDescent="0.35">
      <c r="A30" s="20" t="s">
        <v>17</v>
      </c>
      <c r="B30" s="20">
        <f>SUM(B23:B29)</f>
        <v>0</v>
      </c>
      <c r="C30" s="20">
        <f t="shared" ref="C30:N30" si="5">SUM(C23:C29)</f>
        <v>0</v>
      </c>
      <c r="D30" s="20">
        <f t="shared" si="5"/>
        <v>15400</v>
      </c>
      <c r="E30" s="20">
        <f t="shared" si="5"/>
        <v>0</v>
      </c>
      <c r="F30" s="20">
        <f t="shared" si="5"/>
        <v>11000</v>
      </c>
      <c r="G30" s="20">
        <f t="shared" si="5"/>
        <v>7200</v>
      </c>
      <c r="H30" s="20">
        <f t="shared" si="5"/>
        <v>46750</v>
      </c>
      <c r="I30" s="20">
        <f t="shared" si="5"/>
        <v>13500</v>
      </c>
      <c r="J30" s="20">
        <f t="shared" si="5"/>
        <v>0</v>
      </c>
      <c r="K30" s="20">
        <f t="shared" si="5"/>
        <v>5300</v>
      </c>
      <c r="L30" s="20">
        <f t="shared" si="5"/>
        <v>5300</v>
      </c>
      <c r="M30" s="20">
        <f t="shared" ref="M30" si="6">SUM(M23:M29)</f>
        <v>2800</v>
      </c>
      <c r="N30" s="20">
        <f t="shared" si="5"/>
        <v>104550</v>
      </c>
    </row>
    <row r="32" spans="1:25" x14ac:dyDescent="0.35">
      <c r="A32" s="23" t="s">
        <v>24</v>
      </c>
      <c r="B32" s="23"/>
      <c r="C32" s="23"/>
      <c r="D32" s="23"/>
      <c r="E32" s="23"/>
      <c r="F32" s="23"/>
      <c r="G32" s="23"/>
      <c r="S32" s="43" t="s">
        <v>89</v>
      </c>
      <c r="T32" s="43"/>
      <c r="U32" s="43"/>
      <c r="V32" s="43"/>
      <c r="W32" s="43"/>
      <c r="X32" s="43"/>
      <c r="Y32" s="43"/>
    </row>
    <row r="33" spans="1:24" x14ac:dyDescent="0.35">
      <c r="A33" s="24" t="s">
        <v>6</v>
      </c>
      <c r="B33" s="24"/>
      <c r="C33" t="str">
        <f>R10</f>
        <v>Bangladesh</v>
      </c>
      <c r="D33" t="s">
        <v>2</v>
      </c>
      <c r="E33" t="str">
        <f>R6</f>
        <v>2020</v>
      </c>
      <c r="S33" s="44" t="s">
        <v>3</v>
      </c>
      <c r="T33" s="44"/>
      <c r="U33" t="str">
        <f>R8</f>
        <v>PT SBI</v>
      </c>
    </row>
    <row r="34" spans="1:24" x14ac:dyDescent="0.35">
      <c r="A34" t="s">
        <v>3</v>
      </c>
      <c r="B34" t="s">
        <v>18</v>
      </c>
      <c r="C34" t="s">
        <v>19</v>
      </c>
      <c r="D34" t="s">
        <v>20</v>
      </c>
      <c r="E34" t="s">
        <v>21</v>
      </c>
      <c r="F34" t="s">
        <v>22</v>
      </c>
      <c r="G34" t="s">
        <v>23</v>
      </c>
      <c r="H34" t="s">
        <v>25</v>
      </c>
      <c r="I34" t="s">
        <v>26</v>
      </c>
      <c r="J34" t="s">
        <v>27</v>
      </c>
      <c r="K34" t="s">
        <v>28</v>
      </c>
      <c r="L34" t="s">
        <v>29</v>
      </c>
      <c r="M34" t="s">
        <v>30</v>
      </c>
      <c r="N34" t="s">
        <v>91</v>
      </c>
      <c r="S34" t="s">
        <v>3</v>
      </c>
      <c r="T34" t="s">
        <v>43</v>
      </c>
      <c r="U34" t="s">
        <v>65</v>
      </c>
      <c r="W34" t="s">
        <v>40</v>
      </c>
      <c r="X34" t="str">
        <f>U33</f>
        <v>PT SBI</v>
      </c>
    </row>
    <row r="35" spans="1:24" x14ac:dyDescent="0.35">
      <c r="A35" s="19" t="s">
        <v>34</v>
      </c>
      <c r="B35" s="19" t="e">
        <f>B19/$B$30</f>
        <v>#DIV/0!</v>
      </c>
      <c r="C35" s="19" t="e">
        <f>C19/$C$30</f>
        <v>#DIV/0!</v>
      </c>
      <c r="D35" s="19">
        <f>D19/$D$30</f>
        <v>0</v>
      </c>
      <c r="E35" s="19" t="e">
        <f>E19/$E$30</f>
        <v>#DIV/0!</v>
      </c>
      <c r="F35" s="19">
        <f>F19/$F$30</f>
        <v>0</v>
      </c>
      <c r="G35" s="19">
        <f>G19/$G$30</f>
        <v>2.7777777777777776E-2</v>
      </c>
      <c r="H35" s="19">
        <f>H19/$H$30</f>
        <v>0</v>
      </c>
      <c r="I35" s="19">
        <f>I19/$I$30</f>
        <v>0</v>
      </c>
      <c r="J35" s="19" t="e">
        <f>J19/$J$30</f>
        <v>#DIV/0!</v>
      </c>
      <c r="K35" s="19">
        <f>K19/$K$30</f>
        <v>0</v>
      </c>
      <c r="L35" s="19">
        <f>L19/$L$30</f>
        <v>0</v>
      </c>
      <c r="M35">
        <f>M19/$M$30</f>
        <v>0.8928571428571429</v>
      </c>
      <c r="N35">
        <f t="shared" ref="N35:N45" si="7">N19/$N$30</f>
        <v>0</v>
      </c>
      <c r="S35" s="19" t="s">
        <v>34</v>
      </c>
      <c r="T35">
        <f>SUMIFS(Database!$Y$4:$Y$599981,Database!$C$4:$C$599981,Sheet2!T$34)</f>
        <v>152427</v>
      </c>
      <c r="U35">
        <f>SUMIFS(Database!$Y$4:$Y$599981,Database!$C$4:$C$599981,Sheet2!U$34)</f>
        <v>307291</v>
      </c>
      <c r="W35" t="s">
        <v>43</v>
      </c>
      <c r="X35">
        <f>VLOOKUP($X$34,$S$35:$U$44,2,FALSE)</f>
        <v>230737.34600000002</v>
      </c>
    </row>
    <row r="36" spans="1:24" x14ac:dyDescent="0.35">
      <c r="A36" s="19" t="s">
        <v>32</v>
      </c>
      <c r="B36" s="19" t="e">
        <f>B20/$B$30</f>
        <v>#DIV/0!</v>
      </c>
      <c r="C36" s="19" t="e">
        <f>C20/$C$30</f>
        <v>#DIV/0!</v>
      </c>
      <c r="D36" s="19">
        <f>D20/$D$30</f>
        <v>6.4935064935064929E-2</v>
      </c>
      <c r="E36" s="19" t="e">
        <f>E20/$E$30</f>
        <v>#DIV/0!</v>
      </c>
      <c r="F36" s="19">
        <f>F20/$F$30</f>
        <v>0</v>
      </c>
      <c r="G36" s="19">
        <f>G20/$G$30</f>
        <v>0</v>
      </c>
      <c r="H36" s="19">
        <f>H20/$H$30</f>
        <v>0</v>
      </c>
      <c r="I36" s="19">
        <f>I20/$I$30</f>
        <v>0</v>
      </c>
      <c r="J36" s="19" t="e">
        <f>J20/$J$30</f>
        <v>#DIV/0!</v>
      </c>
      <c r="K36" s="19">
        <f>K20/$K$30</f>
        <v>0</v>
      </c>
      <c r="L36" s="19">
        <f>L20/$L$30</f>
        <v>0</v>
      </c>
      <c r="M36">
        <f t="shared" ref="M36:M45" si="8">M20/$M$30</f>
        <v>0</v>
      </c>
      <c r="N36">
        <f t="shared" si="7"/>
        <v>9.5648015303682454E-3</v>
      </c>
      <c r="S36" s="19" t="s">
        <v>32</v>
      </c>
      <c r="T36">
        <f>SUMIFS(Database!$Z$4:$Z$599981,Database!$C$4:$C$599981,Sheet2!T$34)</f>
        <v>150748</v>
      </c>
      <c r="U36">
        <f>SUMIFS(Database!$Z$4:$Z$599981,Database!$C$4:$C$599981,Sheet2!U$34)</f>
        <v>118310</v>
      </c>
      <c r="W36" t="s">
        <v>65</v>
      </c>
      <c r="X36">
        <f>VLOOKUP($X$34,$S$35:$U$44,3,FALSE)</f>
        <v>198167.56400000001</v>
      </c>
    </row>
    <row r="37" spans="1:24" x14ac:dyDescent="0.35">
      <c r="A37" s="19" t="s">
        <v>74</v>
      </c>
      <c r="B37" s="19" t="e">
        <f>B21/$B$30</f>
        <v>#DIV/0!</v>
      </c>
      <c r="C37" s="19" t="e">
        <f>C21/$C$30</f>
        <v>#DIV/0!</v>
      </c>
      <c r="D37" s="19">
        <f>D21/$D$30</f>
        <v>1.2987012987012988E-2</v>
      </c>
      <c r="E37" s="19" t="e">
        <f>E21/$E$30</f>
        <v>#DIV/0!</v>
      </c>
      <c r="F37" s="19">
        <f>F21/$F$30</f>
        <v>0</v>
      </c>
      <c r="G37" s="19">
        <f>G21/$G$30</f>
        <v>0</v>
      </c>
      <c r="H37" s="19">
        <f>H21/$H$30</f>
        <v>0.2283422459893048</v>
      </c>
      <c r="I37" s="19">
        <f>I21/$I$30</f>
        <v>0</v>
      </c>
      <c r="J37" s="19" t="e">
        <f>J21/$J$30</f>
        <v>#DIV/0!</v>
      </c>
      <c r="K37" s="19">
        <f>K21/$K$30</f>
        <v>0</v>
      </c>
      <c r="L37" s="19">
        <f>L21/$L$30</f>
        <v>0</v>
      </c>
      <c r="M37">
        <f t="shared" si="8"/>
        <v>0</v>
      </c>
      <c r="N37">
        <f t="shared" si="7"/>
        <v>0.10401721664275466</v>
      </c>
      <c r="S37" s="19" t="s">
        <v>74</v>
      </c>
      <c r="T37">
        <f>SUMIFS(Database!$AA$4:$AA$599981,Database!$C$4:$C$599981,Sheet2!T$34)</f>
        <v>199248</v>
      </c>
      <c r="U37">
        <f>SUMIFS(Database!$AA$4:$AA$599981,Database!$C$4:$C$599981,Sheet2!U$34)</f>
        <v>167300</v>
      </c>
      <c r="W37" t="s">
        <v>128</v>
      </c>
      <c r="X37">
        <f>X35+X36</f>
        <v>428904.91000000003</v>
      </c>
    </row>
    <row r="38" spans="1:24" x14ac:dyDescent="0.35">
      <c r="A38" s="19" t="s">
        <v>33</v>
      </c>
      <c r="B38" s="19" t="e">
        <f>B22/$B$30</f>
        <v>#DIV/0!</v>
      </c>
      <c r="C38" s="19" t="e">
        <f>C22/$C$30</f>
        <v>#DIV/0!</v>
      </c>
      <c r="D38" s="19">
        <f>D22/$D$30</f>
        <v>0</v>
      </c>
      <c r="E38" s="19" t="e">
        <f>E22/$E$30</f>
        <v>#DIV/0!</v>
      </c>
      <c r="F38" s="19">
        <f>F22/$F$30</f>
        <v>0.90909090909090906</v>
      </c>
      <c r="G38" s="19">
        <f>G22/$G$30</f>
        <v>0.34722222222222221</v>
      </c>
      <c r="H38" s="19">
        <f>H22/$H$30</f>
        <v>0.73957219251336903</v>
      </c>
      <c r="I38" s="19">
        <f>I22/$I$30</f>
        <v>0</v>
      </c>
      <c r="J38" s="19" t="e">
        <f>J22/$J$30</f>
        <v>#DIV/0!</v>
      </c>
      <c r="K38" s="19">
        <f>K22/$K$30</f>
        <v>0</v>
      </c>
      <c r="L38" s="19">
        <f>L22/$L$30</f>
        <v>0</v>
      </c>
      <c r="M38">
        <f t="shared" si="8"/>
        <v>0</v>
      </c>
      <c r="N38">
        <f t="shared" si="7"/>
        <v>0.45026303204208512</v>
      </c>
      <c r="S38" s="19" t="s">
        <v>33</v>
      </c>
      <c r="T38">
        <f>SUMIFS(Database!$AB$4:$AB$599981,Database!$C$4:$C$599981,Sheet2!T$34)</f>
        <v>230737.34600000002</v>
      </c>
      <c r="U38">
        <f>SUMIFS(Database!$AB$4:$AB$599981,Database!$C$4:$C$599981,Sheet2!U$34)</f>
        <v>198167.56400000001</v>
      </c>
    </row>
    <row r="39" spans="1:24" x14ac:dyDescent="0.35">
      <c r="A39" t="s">
        <v>7</v>
      </c>
      <c r="B39" t="e">
        <f t="shared" ref="B39:L39" si="9">B23/B$30</f>
        <v>#DIV/0!</v>
      </c>
      <c r="C39" t="e">
        <f t="shared" si="9"/>
        <v>#DIV/0!</v>
      </c>
      <c r="D39">
        <f t="shared" si="9"/>
        <v>7.792207792207792E-2</v>
      </c>
      <c r="E39" t="e">
        <f t="shared" si="9"/>
        <v>#DIV/0!</v>
      </c>
      <c r="F39">
        <f t="shared" si="9"/>
        <v>0.90909090909090906</v>
      </c>
      <c r="G39">
        <f t="shared" si="9"/>
        <v>0.375</v>
      </c>
      <c r="H39">
        <f t="shared" si="9"/>
        <v>0.96791443850267378</v>
      </c>
      <c r="I39">
        <f t="shared" si="9"/>
        <v>0</v>
      </c>
      <c r="J39" t="e">
        <f t="shared" si="9"/>
        <v>#DIV/0!</v>
      </c>
      <c r="K39">
        <f t="shared" si="9"/>
        <v>0</v>
      </c>
      <c r="L39">
        <f t="shared" si="9"/>
        <v>0</v>
      </c>
      <c r="M39">
        <f t="shared" si="8"/>
        <v>0.8928571428571429</v>
      </c>
      <c r="N39">
        <f t="shared" si="7"/>
        <v>0.56384505021520803</v>
      </c>
      <c r="S39" t="s">
        <v>135</v>
      </c>
      <c r="T39">
        <f>SUMIFS(Database!$AC$4:$AC$599981,Database!$C$4:$C$599981,Sheet2!T$34)</f>
        <v>400233</v>
      </c>
      <c r="U39">
        <f>SUMIFS(Database!$AC$4:$AC$599981,Database!$C$4:$C$599981,Sheet2!U$34)</f>
        <v>258853</v>
      </c>
    </row>
    <row r="40" spans="1:24" x14ac:dyDescent="0.35">
      <c r="A40" t="s">
        <v>14</v>
      </c>
      <c r="B40" t="e">
        <f t="shared" ref="B40:B45" si="10">B24/$B$30</f>
        <v>#DIV/0!</v>
      </c>
      <c r="C40" t="e">
        <f t="shared" ref="C40:C45" si="11">C24/$C$30</f>
        <v>#DIV/0!</v>
      </c>
      <c r="D40">
        <f t="shared" ref="D40:D45" si="12">D24/$D$30</f>
        <v>4.5454545454545456E-2</v>
      </c>
      <c r="E40" t="e">
        <f t="shared" ref="E40:E45" si="13">E24/$E$30</f>
        <v>#DIV/0!</v>
      </c>
      <c r="F40">
        <f t="shared" ref="F40:F45" si="14">F24/$F$30</f>
        <v>4.5454545454545456E-2</v>
      </c>
      <c r="G40">
        <f t="shared" ref="G40:G45" si="15">G24/$G$30</f>
        <v>0.1388888888888889</v>
      </c>
      <c r="H40">
        <f t="shared" ref="H40:H45" si="16">H24/$H$30</f>
        <v>0</v>
      </c>
      <c r="I40">
        <f t="shared" ref="I40:I45" si="17">I24/$I$30</f>
        <v>0.7407407407407407</v>
      </c>
      <c r="J40" t="e">
        <f t="shared" ref="J40:J45" si="18">J24/$J$30</f>
        <v>#DIV/0!</v>
      </c>
      <c r="K40">
        <f t="shared" ref="K40:K45" si="19">K24/$K$30</f>
        <v>0</v>
      </c>
      <c r="L40">
        <f t="shared" ref="L40:L45" si="20">L24/$L$30</f>
        <v>0</v>
      </c>
      <c r="M40">
        <f t="shared" si="8"/>
        <v>0</v>
      </c>
      <c r="N40">
        <f t="shared" si="7"/>
        <v>0.11669057867049258</v>
      </c>
      <c r="S40" t="s">
        <v>136</v>
      </c>
      <c r="T40">
        <f>SUMIFS(Database!$AD$4:$AD$599981,Database!$C$4:$C$599981,Sheet2!T$34)</f>
        <v>117250</v>
      </c>
      <c r="U40">
        <f>SUMIFS(Database!$AD$4:$AD$599981,Database!$C$4:$C$599981,Sheet2!U$34)</f>
        <v>123490</v>
      </c>
    </row>
    <row r="41" spans="1:24" x14ac:dyDescent="0.35">
      <c r="A41" t="s">
        <v>12</v>
      </c>
      <c r="B41" t="e">
        <f t="shared" si="10"/>
        <v>#DIV/0!</v>
      </c>
      <c r="C41" t="e">
        <f t="shared" si="11"/>
        <v>#DIV/0!</v>
      </c>
      <c r="D41">
        <f t="shared" si="12"/>
        <v>3.2467532467532464E-2</v>
      </c>
      <c r="E41" t="e">
        <f t="shared" si="13"/>
        <v>#DIV/0!</v>
      </c>
      <c r="F41">
        <f t="shared" si="14"/>
        <v>0</v>
      </c>
      <c r="G41">
        <f t="shared" si="15"/>
        <v>0</v>
      </c>
      <c r="H41">
        <f t="shared" si="16"/>
        <v>1.06951871657754E-2</v>
      </c>
      <c r="I41">
        <f t="shared" si="17"/>
        <v>0</v>
      </c>
      <c r="J41" t="e">
        <f t="shared" si="18"/>
        <v>#DIV/0!</v>
      </c>
      <c r="K41">
        <f t="shared" si="19"/>
        <v>0</v>
      </c>
      <c r="L41">
        <f t="shared" si="20"/>
        <v>0</v>
      </c>
      <c r="M41">
        <f t="shared" si="8"/>
        <v>0</v>
      </c>
      <c r="N41">
        <f t="shared" si="7"/>
        <v>9.5648015303682454E-3</v>
      </c>
      <c r="S41" t="s">
        <v>133</v>
      </c>
      <c r="T41">
        <f>SUMIFS(Database!$AE$4:$AE$599981,Database!$C$4:$C$599981,Sheet2!T$34)</f>
        <v>104456</v>
      </c>
      <c r="U41">
        <f>SUMIFS(Database!$AE$4:$AE$599981,Database!$C$4:$C$599981,Sheet2!U$34)</f>
        <v>138592</v>
      </c>
    </row>
    <row r="42" spans="1:24" x14ac:dyDescent="0.35">
      <c r="A42" t="s">
        <v>15</v>
      </c>
      <c r="B42" t="e">
        <f t="shared" si="10"/>
        <v>#DIV/0!</v>
      </c>
      <c r="C42" t="e">
        <f t="shared" si="11"/>
        <v>#DIV/0!</v>
      </c>
      <c r="D42">
        <f t="shared" si="12"/>
        <v>0</v>
      </c>
      <c r="E42" t="e">
        <f t="shared" si="13"/>
        <v>#DIV/0!</v>
      </c>
      <c r="F42">
        <f t="shared" si="14"/>
        <v>0</v>
      </c>
      <c r="G42">
        <f t="shared" si="15"/>
        <v>0.1388888888888889</v>
      </c>
      <c r="H42">
        <f t="shared" si="16"/>
        <v>0</v>
      </c>
      <c r="I42">
        <f t="shared" si="17"/>
        <v>3.7037037037037035E-2</v>
      </c>
      <c r="J42" t="e">
        <f t="shared" si="18"/>
        <v>#DIV/0!</v>
      </c>
      <c r="K42">
        <f t="shared" si="19"/>
        <v>0.47169811320754718</v>
      </c>
      <c r="L42">
        <f t="shared" si="20"/>
        <v>0.47169811320754718</v>
      </c>
      <c r="M42">
        <f t="shared" si="8"/>
        <v>0.10714285714285714</v>
      </c>
      <c r="N42">
        <f t="shared" si="7"/>
        <v>6.5040650406504072E-2</v>
      </c>
      <c r="S42" t="s">
        <v>137</v>
      </c>
      <c r="T42">
        <f>SUMIFS(Database!$AF$4:$AF$599981,Database!$C$4:$C$599981,Sheet2!T$34)</f>
        <v>238421.91000000003</v>
      </c>
      <c r="U42">
        <f>SUMIFS(Database!$AF$4:$AF$599981,Database!$C$4:$C$599981,Sheet2!U$34)</f>
        <v>205833.56400000001</v>
      </c>
    </row>
    <row r="43" spans="1:24" x14ac:dyDescent="0.35">
      <c r="A43" t="s">
        <v>16</v>
      </c>
      <c r="B43" t="e">
        <f t="shared" si="10"/>
        <v>#DIV/0!</v>
      </c>
      <c r="C43" t="e">
        <f t="shared" si="11"/>
        <v>#DIV/0!</v>
      </c>
      <c r="D43">
        <f t="shared" si="12"/>
        <v>0.77922077922077926</v>
      </c>
      <c r="E43" t="e">
        <f t="shared" si="13"/>
        <v>#DIV/0!</v>
      </c>
      <c r="F43">
        <f t="shared" si="14"/>
        <v>4.5454545454545456E-2</v>
      </c>
      <c r="G43">
        <f t="shared" si="15"/>
        <v>0.34722222222222221</v>
      </c>
      <c r="H43">
        <f t="shared" si="16"/>
        <v>0</v>
      </c>
      <c r="I43">
        <f t="shared" si="17"/>
        <v>0.18518518518518517</v>
      </c>
      <c r="J43" t="e">
        <f t="shared" si="18"/>
        <v>#DIV/0!</v>
      </c>
      <c r="K43">
        <f t="shared" si="19"/>
        <v>5.6603773584905662E-2</v>
      </c>
      <c r="L43">
        <f t="shared" si="20"/>
        <v>5.6603773584905662E-2</v>
      </c>
      <c r="M43">
        <f t="shared" si="8"/>
        <v>0</v>
      </c>
      <c r="N43">
        <f t="shared" si="7"/>
        <v>0.17312290769966523</v>
      </c>
      <c r="S43" t="s">
        <v>138</v>
      </c>
      <c r="T43">
        <f>SUMIFS(Database!$AG$4:$AG$599981,Database!$C$4:$C$599981,Sheet2!T$34)</f>
        <v>140658</v>
      </c>
      <c r="U43">
        <f>SUMIFS(Database!$AG$4:$AG$599981,Database!$C$4:$C$599981,Sheet2!U$34)</f>
        <v>184152</v>
      </c>
    </row>
    <row r="44" spans="1:24" x14ac:dyDescent="0.35">
      <c r="A44" t="s">
        <v>13</v>
      </c>
      <c r="B44" t="e">
        <f t="shared" si="10"/>
        <v>#DIV/0!</v>
      </c>
      <c r="C44" t="e">
        <f t="shared" si="11"/>
        <v>#DIV/0!</v>
      </c>
      <c r="D44">
        <f t="shared" si="12"/>
        <v>6.4935064935064929E-2</v>
      </c>
      <c r="E44" t="e">
        <f t="shared" si="13"/>
        <v>#DIV/0!</v>
      </c>
      <c r="F44">
        <f t="shared" si="14"/>
        <v>0</v>
      </c>
      <c r="G44">
        <f t="shared" si="15"/>
        <v>0</v>
      </c>
      <c r="H44">
        <f t="shared" si="16"/>
        <v>0</v>
      </c>
      <c r="I44">
        <f t="shared" si="17"/>
        <v>3.7037037037037035E-2</v>
      </c>
      <c r="J44" t="e">
        <f t="shared" si="18"/>
        <v>#DIV/0!</v>
      </c>
      <c r="K44">
        <f t="shared" si="19"/>
        <v>0.47169811320754718</v>
      </c>
      <c r="L44">
        <f t="shared" si="20"/>
        <v>0.47169811320754718</v>
      </c>
      <c r="M44">
        <f t="shared" si="8"/>
        <v>0</v>
      </c>
      <c r="N44">
        <f t="shared" si="7"/>
        <v>6.2171209947393592E-2</v>
      </c>
    </row>
    <row r="45" spans="1:24" x14ac:dyDescent="0.35">
      <c r="A45" t="s">
        <v>90</v>
      </c>
      <c r="B45" t="e">
        <f t="shared" si="10"/>
        <v>#DIV/0!</v>
      </c>
      <c r="C45" t="e">
        <f t="shared" si="11"/>
        <v>#DIV/0!</v>
      </c>
      <c r="D45">
        <f t="shared" si="12"/>
        <v>0</v>
      </c>
      <c r="E45" t="e">
        <f t="shared" si="13"/>
        <v>#DIV/0!</v>
      </c>
      <c r="F45">
        <f t="shared" si="14"/>
        <v>0</v>
      </c>
      <c r="G45">
        <f t="shared" si="15"/>
        <v>0</v>
      </c>
      <c r="H45">
        <f t="shared" si="16"/>
        <v>2.1390374331550801E-2</v>
      </c>
      <c r="I45">
        <f t="shared" si="17"/>
        <v>0</v>
      </c>
      <c r="J45" t="e">
        <f t="shared" si="18"/>
        <v>#DIV/0!</v>
      </c>
      <c r="K45">
        <f t="shared" si="19"/>
        <v>0</v>
      </c>
      <c r="L45">
        <f t="shared" si="20"/>
        <v>0</v>
      </c>
      <c r="M45">
        <f t="shared" si="8"/>
        <v>0</v>
      </c>
      <c r="N45">
        <f t="shared" si="7"/>
        <v>9.5648015303682454E-3</v>
      </c>
    </row>
    <row r="46" spans="1:24" x14ac:dyDescent="0.35">
      <c r="A46" t="s">
        <v>17</v>
      </c>
      <c r="B46" t="e">
        <f t="shared" ref="B46:N46" si="21">SUM(B39:B44)</f>
        <v>#DIV/0!</v>
      </c>
      <c r="C46" t="e">
        <f t="shared" si="21"/>
        <v>#DIV/0!</v>
      </c>
      <c r="D46">
        <f t="shared" si="21"/>
        <v>1</v>
      </c>
      <c r="E46" t="e">
        <f t="shared" si="21"/>
        <v>#DIV/0!</v>
      </c>
      <c r="F46">
        <f t="shared" si="21"/>
        <v>0.99999999999999989</v>
      </c>
      <c r="G46">
        <f t="shared" si="21"/>
        <v>0.99999999999999989</v>
      </c>
      <c r="H46">
        <f t="shared" si="21"/>
        <v>0.97860962566844922</v>
      </c>
      <c r="I46">
        <f t="shared" si="21"/>
        <v>0.99999999999999978</v>
      </c>
      <c r="J46" t="e">
        <f t="shared" si="21"/>
        <v>#DIV/0!</v>
      </c>
      <c r="K46">
        <f t="shared" si="21"/>
        <v>1</v>
      </c>
      <c r="L46">
        <f t="shared" si="21"/>
        <v>1</v>
      </c>
      <c r="M46">
        <f t="shared" si="21"/>
        <v>1</v>
      </c>
      <c r="N46">
        <f t="shared" si="21"/>
        <v>0.99043519846963168</v>
      </c>
    </row>
    <row r="48" spans="1:24" x14ac:dyDescent="0.35">
      <c r="A48" s="43" t="s">
        <v>75</v>
      </c>
      <c r="B48" s="43"/>
      <c r="C48" s="43"/>
      <c r="D48" s="43"/>
      <c r="E48" s="43"/>
      <c r="F48" s="43"/>
      <c r="G48" s="43"/>
    </row>
    <row r="49" spans="1:12" x14ac:dyDescent="0.35">
      <c r="A49" t="s">
        <v>38</v>
      </c>
      <c r="B49" t="str">
        <f>R10</f>
        <v>Bangladesh</v>
      </c>
      <c r="D49" t="s">
        <v>2</v>
      </c>
      <c r="E49" t="str">
        <f>R6</f>
        <v>2020</v>
      </c>
      <c r="G49" s="44" t="s">
        <v>3</v>
      </c>
      <c r="H49" s="44"/>
      <c r="I49" t="str">
        <f>T8</f>
        <v>PT SBI</v>
      </c>
    </row>
    <row r="50" spans="1:12" x14ac:dyDescent="0.35">
      <c r="A50" t="s">
        <v>76</v>
      </c>
      <c r="B50" t="s">
        <v>77</v>
      </c>
      <c r="C50" t="s">
        <v>78</v>
      </c>
      <c r="D50" t="s">
        <v>79</v>
      </c>
      <c r="E50" t="s">
        <v>22</v>
      </c>
      <c r="F50" t="s">
        <v>80</v>
      </c>
      <c r="G50" t="s">
        <v>81</v>
      </c>
      <c r="H50" t="s">
        <v>82</v>
      </c>
      <c r="I50" t="s">
        <v>83</v>
      </c>
      <c r="J50" t="s">
        <v>84</v>
      </c>
      <c r="K50" t="s">
        <v>85</v>
      </c>
      <c r="L50" t="s">
        <v>86</v>
      </c>
    </row>
    <row r="51" spans="1:12" x14ac:dyDescent="0.35">
      <c r="A51" s="22" t="e">
        <f>VLOOKUP($I$49,$A$35:$M$38,2,0)</f>
        <v>#DIV/0!</v>
      </c>
      <c r="B51" s="22" t="e">
        <f>VLOOKUP($I$49,$A$35:$M$38,3,0)</f>
        <v>#DIV/0!</v>
      </c>
      <c r="C51" s="22">
        <f>VLOOKUP($I$49,$A$35:$M$38,4,0)</f>
        <v>0</v>
      </c>
      <c r="D51" s="22" t="e">
        <f>VLOOKUP($I$49,$A$35:$M$38,5,0)</f>
        <v>#DIV/0!</v>
      </c>
      <c r="E51" s="22">
        <f>VLOOKUP($I$49,$A$35:$M$38,6,0)</f>
        <v>0.90909090909090906</v>
      </c>
      <c r="F51" s="22">
        <f>VLOOKUP($I$49,$A$35:$M$38,7,0)</f>
        <v>0.34722222222222221</v>
      </c>
      <c r="G51" s="22">
        <f>VLOOKUP($I$49,$A$35:$M$38,8,0)</f>
        <v>0.73957219251336903</v>
      </c>
      <c r="H51" s="22">
        <f>VLOOKUP($I$49,$A$35:$M$38,9,0)</f>
        <v>0</v>
      </c>
      <c r="I51" s="22" t="e">
        <f>VLOOKUP($I$49,$A$35:$M$38,10,0)</f>
        <v>#DIV/0!</v>
      </c>
      <c r="J51" s="22">
        <f>VLOOKUP($I$49,$A$35:$M$38,11,0)</f>
        <v>0</v>
      </c>
      <c r="K51" s="22">
        <f>VLOOKUP($I$49,$A$35:$M$38,12,0)</f>
        <v>0</v>
      </c>
      <c r="L51" s="22">
        <f>VLOOKUP($I$49,$A$35:$M$38,13,0)</f>
        <v>0</v>
      </c>
    </row>
    <row r="53" spans="1:12" x14ac:dyDescent="0.35">
      <c r="A53" s="43" t="s">
        <v>87</v>
      </c>
      <c r="B53" s="43"/>
      <c r="C53" s="43"/>
      <c r="D53" s="43"/>
      <c r="E53" s="43"/>
      <c r="F53" s="43"/>
      <c r="G53" s="43"/>
      <c r="H53" s="43"/>
      <c r="I53" s="43"/>
    </row>
    <row r="54" spans="1:12" x14ac:dyDescent="0.35">
      <c r="A54" t="s">
        <v>40</v>
      </c>
      <c r="B54" t="str">
        <f>R4</f>
        <v>Nasional</v>
      </c>
      <c r="C54" t="s">
        <v>3</v>
      </c>
      <c r="D54" t="str">
        <f>R8</f>
        <v>PT SBI</v>
      </c>
    </row>
    <row r="55" spans="1:12" x14ac:dyDescent="0.35">
      <c r="A55" t="s">
        <v>44</v>
      </c>
      <c r="D55">
        <f>IF($R$4="Nasional",IF($D$54="PT SP",SUMIFS(Database!$Y$4:$Y$599981,Database!$D$4:$D$599981,Sheet2!A55),IF($D$54="PT SB",SUMIFS(Database!$Z$4:$Z$599981,Database!$D$4:$D$599981,Sheet2!A55),IF(Sheet2!$D$54="PT CG",SUMIFS(Database!$AA$4:$AA$599981,Database!$D$4:$D$599981,Sheet2!A55),IF(Sheet2!$D$54="PT ITP",SUMIFS(Database!$AB$4:$AB$599981,Database!$D$4:$D$599981,Sheet2!A55),IF(Sheet2!$D$54="PT SBI",SUMIFS(Database!$AC$4:$AC$599981,Database!$D$4:$D$599981,Sheet2!$A55),IF(Sheet2!$D$54="PT SG",SUMIFS(Database!$AD$4:$AD$599981,Database!$D$4:$D$599981,Sheet2!A55),IF(Sheet2!$D$54="PT CCI",SUMIFS(Database!$AE$4:$AE$599981,Database!$D$4:$D$599981,Sheet2!A55),IF(Sheet2!$D$54="PT ST",SUMIFS(Database!$AF$4:$AF$599981,Database!$D$4:$D$599981,Sheet2!A55),IF(Sheet2!$D$54="PT SBM",SUMIFS(Database!$AG$4:$AG$599981,Database!$D$4:$D$599981,Sheet2!A55),SUMIFS(Database!$AH$4:$AH$599981,Database!$D$4:$D$599981,Sheet2!A55)))))))))),IF($D$54="PT SP",SUMIFS(Database!$Y$4:$Y$599981,Database!$D$4:$D$599981,Sheet2!A55,Database!$C$4:$C$599981,Sheet2!$R$4),IF($D$54="PT SB",SUMIFS(Database!$Z$4:$Z$599981,Database!$D$4:$D$599981,Sheet2!A55,Database!$C$4:$C$599981,Sheet2!$R$4),IF(Sheet2!$D$54="PT CG",SUMIFS(Database!$AA$4:$AA$599981,Database!$D$4:$D$599981,Sheet2!A55,Database!$C$4:$C$599981,Sheet2!$R$4),IF(Sheet2!$D$54="PT ITP",SUMIFS(Database!$AB$4:$AB$599981,Database!$D$4:$D$599981,Sheet2!A55,Database!$C$4:$C$599981,Sheet2!$R$4),IF(Sheet2!$D$54="PT SBI",SUMIFS(Database!$AC$4:$AC$599981,Database!$D$4:$D$599981,Sheet2!$A55,Database!$C$4:$C$599981,Sheet2!$R$4),IF(Sheet2!$D$54="PT SG",SUMIFS(Database!$AD$4:$AD$599981,Database!$D$4:$D$599981,Sheet2!A55,Database!$C$4:$C$599981,Sheet2!$R$4),IF(Sheet2!$D$54="PT CCI",SUMIFS(Database!$AE$4:$AE$599981,Database!$D$4:$D$599981,Sheet2!A55,Database!$C$4:$C$599981,Sheet2!$R$4),IF(Sheet2!$D$54="PT ST",SUMIFS(Database!$AF$4:$AF$599981,Database!$D$4:$D$599981,Sheet2!A55,Database!$C$4:$C$599981,Sheet2!$R$4),IF(Sheet2!$D$54="PT SBM",SUMIFS(Database!$AG$4:$AG$599981,Database!$D$4:$D$599981,Sheet2!A55,Database!$C$4:$C$599981,Sheet2!$R$4),SUMIFS(Database!$AH$4:$AH$599981,Database!$D$4:$D$599981,Sheet2!A55,Database!$C$4:$C$599981,Sheet2!$R$4)))))))))))</f>
        <v>164005</v>
      </c>
      <c r="J55">
        <f>SUM($D$55:$D$100000)</f>
        <v>367691</v>
      </c>
    </row>
    <row r="56" spans="1:12" x14ac:dyDescent="0.35">
      <c r="A56" t="s">
        <v>45</v>
      </c>
      <c r="D56">
        <f>IF($R$4="Nasional",IF($D$54="PT SP",SUMIFS(Database!$Y$4:$Y$599981,Database!$D$4:$D$599981,Sheet2!A56),IF($D$54="PT SB",SUMIFS(Database!$Z$4:$Z$599981,Database!$D$4:$D$599981,Sheet2!A56),IF(Sheet2!$D$54="PT CG",SUMIFS(Database!$AA$4:$AA$599981,Database!$D$4:$D$599981,Sheet2!A56),IF(Sheet2!$D$54="PT ITP",SUMIFS(Database!$AB$4:$AB$599981,Database!$D$4:$D$599981,Sheet2!A56),IF(Sheet2!$D$54="PT SBI",SUMIFS(Database!$AC$4:$AC$599981,Database!$D$4:$D$599981,Sheet2!$A56),IF(Sheet2!$D$54="PT SG",SUMIFS(Database!$AD$4:$AD$599981,Database!$D$4:$D$599981,Sheet2!A56),IF(Sheet2!$D$54="PT CCI",SUMIFS(Database!$AE$4:$AE$599981,Database!$D$4:$D$599981,Sheet2!A56),IF(Sheet2!$D$54="PT ST",SUMIFS(Database!$AF$4:$AF$599981,Database!$D$4:$D$599981,Sheet2!A56),IF(Sheet2!$D$54="PT SBM",SUMIFS(Database!$AG$4:$AG$599981,Database!$D$4:$D$599981,Sheet2!A56),SUMIFS(Database!$AH$4:$AH$599981,Database!$D$4:$D$599981,Sheet2!A56)))))))))),IF($D$54="PT SP",SUMIFS(Database!$Y$4:$Y$599981,Database!$D$4:$D$599981,Sheet2!A56,Database!$C$4:$C$599981,Sheet2!$R$4),IF($D$54="PT SB",SUMIFS(Database!$Z$4:$Z$599981,Database!$D$4:$D$599981,Sheet2!A56,Database!$C$4:$C$599981,Sheet2!$R$4),IF(Sheet2!$D$54="PT CG",SUMIFS(Database!$AA$4:$AA$599981,Database!$D$4:$D$599981,Sheet2!A56,Database!$C$4:$C$599981,Sheet2!$R$4),IF(Sheet2!$D$54="PT ITP",SUMIFS(Database!$AB$4:$AB$599981,Database!$D$4:$D$599981,Sheet2!A56,Database!$C$4:$C$599981,Sheet2!$R$4),IF(Sheet2!$D$54="PT SBI",SUMIFS(Database!$AC$4:$AC$599981,Database!$D$4:$D$599981,Sheet2!$A56,Database!$C$4:$C$599981,Sheet2!$R$4),IF(Sheet2!$D$54="PT SG",SUMIFS(Database!$AD$4:$AD$599981,Database!$D$4:$D$599981,Sheet2!A56,Database!$C$4:$C$599981,Sheet2!$R$4),IF(Sheet2!$D$54="PT CCI",SUMIFS(Database!$AE$4:$AE$599981,Database!$D$4:$D$599981,Sheet2!A56,Database!$C$4:$C$599981,Sheet2!$R$4),IF(Sheet2!$D$54="PT ST",SUMIFS(Database!$AF$4:$AF$599981,Database!$D$4:$D$599981,Sheet2!A56,Database!$C$4:$C$599981,Sheet2!$R$4),IF(Sheet2!$D$54="PT SBM",SUMIFS(Database!$AG$4:$AG$599981,Database!$D$4:$D$599981,Sheet2!A56,Database!$C$4:$C$599981,Sheet2!$R$4),SUMIFS(Database!$AH$4:$AH$599981,Database!$D$4:$D$599981,Sheet2!A56,Database!$C$4:$C$599981,Sheet2!$R$4)))))))))))</f>
        <v>140550</v>
      </c>
      <c r="J56">
        <f>MAX($D$55:$D$100000)</f>
        <v>164005</v>
      </c>
      <c r="K56" t="str">
        <f>INDEX($A$55:$A$51000,MATCH($J$56,$D$55:$D$1000,0))</f>
        <v>Australia</v>
      </c>
    </row>
    <row r="57" spans="1:12" x14ac:dyDescent="0.35">
      <c r="A57" t="s">
        <v>47</v>
      </c>
      <c r="D57">
        <f>IF($R$4="Nasional",IF($D$54="PT SP",SUMIFS(Database!$Y$4:$Y$599981,Database!$D$4:$D$599981,Sheet2!A57),IF($D$54="PT SB",SUMIFS(Database!$Z$4:$Z$599981,Database!$D$4:$D$599981,Sheet2!A57),IF(Sheet2!$D$54="PT CG",SUMIFS(Database!$AA$4:$AA$599981,Database!$D$4:$D$599981,Sheet2!A57),IF(Sheet2!$D$54="PT ITP",SUMIFS(Database!$AB$4:$AB$599981,Database!$D$4:$D$599981,Sheet2!A57),IF(Sheet2!$D$54="PT SBI",SUMIFS(Database!$AC$4:$AC$599981,Database!$D$4:$D$599981,Sheet2!$A57),IF(Sheet2!$D$54="PT SG",SUMIFS(Database!$AD$4:$AD$599981,Database!$D$4:$D$599981,Sheet2!A57),IF(Sheet2!$D$54="PT CCI",SUMIFS(Database!$AE$4:$AE$599981,Database!$D$4:$D$599981,Sheet2!A57),IF(Sheet2!$D$54="PT ST",SUMIFS(Database!$AF$4:$AF$599981,Database!$D$4:$D$599981,Sheet2!A57),IF(Sheet2!$D$54="PT SBM",SUMIFS(Database!$AG$4:$AG$599981,Database!$D$4:$D$599981,Sheet2!A57),SUMIFS(Database!$AH$4:$AH$599981,Database!$D$4:$D$599981,Sheet2!A57)))))))))),IF($D$54="PT SP",SUMIFS(Database!$Y$4:$Y$599981,Database!$D$4:$D$599981,Sheet2!A57,Database!$C$4:$C$599981,Sheet2!$R$4),IF($D$54="PT SB",SUMIFS(Database!$Z$4:$Z$599981,Database!$D$4:$D$599981,Sheet2!A57,Database!$C$4:$C$599981,Sheet2!$R$4),IF(Sheet2!$D$54="PT CG",SUMIFS(Database!$AA$4:$AA$599981,Database!$D$4:$D$599981,Sheet2!A57,Database!$C$4:$C$599981,Sheet2!$R$4),IF(Sheet2!$D$54="PT ITP",SUMIFS(Database!$AB$4:$AB$599981,Database!$D$4:$D$599981,Sheet2!A57,Database!$C$4:$C$599981,Sheet2!$R$4),IF(Sheet2!$D$54="PT SBI",SUMIFS(Database!$AC$4:$AC$599981,Database!$D$4:$D$599981,Sheet2!$A57,Database!$C$4:$C$599981,Sheet2!$R$4),IF(Sheet2!$D$54="PT SG",SUMIFS(Database!$AD$4:$AD$599981,Database!$D$4:$D$599981,Sheet2!A57,Database!$C$4:$C$599981,Sheet2!$R$4),IF(Sheet2!$D$54="PT CCI",SUMIFS(Database!$AE$4:$AE$599981,Database!$D$4:$D$599981,Sheet2!A57,Database!$C$4:$C$599981,Sheet2!$R$4),IF(Sheet2!$D$54="PT ST",SUMIFS(Database!$AF$4:$AF$599981,Database!$D$4:$D$599981,Sheet2!A57,Database!$C$4:$C$599981,Sheet2!$R$4),IF(Sheet2!$D$54="PT SBM",SUMIFS(Database!$AG$4:$AG$599981,Database!$D$4:$D$599981,Sheet2!A57,Database!$C$4:$C$599981,Sheet2!$R$4),SUMIFS(Database!$AH$4:$AH$599981,Database!$D$4:$D$599981,Sheet2!A57,Database!$C$4:$C$599981,Sheet2!$R$4)))))))))))</f>
        <v>0</v>
      </c>
    </row>
    <row r="58" spans="1:12" x14ac:dyDescent="0.35">
      <c r="A58" t="s">
        <v>48</v>
      </c>
      <c r="D58">
        <f>IF($R$4="Nasional",IF($D$54="PT SP",SUMIFS(Database!$Y$4:$Y$599981,Database!$D$4:$D$599981,Sheet2!A58),IF($D$54="PT SB",SUMIFS(Database!$Z$4:$Z$599981,Database!$D$4:$D$599981,Sheet2!A58),IF(Sheet2!$D$54="PT CG",SUMIFS(Database!$AA$4:$AA$599981,Database!$D$4:$D$599981,Sheet2!A58),IF(Sheet2!$D$54="PT ITP",SUMIFS(Database!$AB$4:$AB$599981,Database!$D$4:$D$599981,Sheet2!A58),IF(Sheet2!$D$54="PT SBI",SUMIFS(Database!$AC$4:$AC$599981,Database!$D$4:$D$599981,Sheet2!$A58),IF(Sheet2!$D$54="PT SG",SUMIFS(Database!$AD$4:$AD$599981,Database!$D$4:$D$599981,Sheet2!A58),IF(Sheet2!$D$54="PT CCI",SUMIFS(Database!$AE$4:$AE$599981,Database!$D$4:$D$599981,Sheet2!A58),IF(Sheet2!$D$54="PT ST",SUMIFS(Database!$AF$4:$AF$599981,Database!$D$4:$D$599981,Sheet2!A58),IF(Sheet2!$D$54="PT SBM",SUMIFS(Database!$AG$4:$AG$599981,Database!$D$4:$D$599981,Sheet2!A58),SUMIFS(Database!$AH$4:$AH$599981,Database!$D$4:$D$599981,Sheet2!A58)))))))))),IF($D$54="PT SP",SUMIFS(Database!$Y$4:$Y$599981,Database!$D$4:$D$599981,Sheet2!A58,Database!$C$4:$C$599981,Sheet2!$R$4),IF($D$54="PT SB",SUMIFS(Database!$Z$4:$Z$599981,Database!$D$4:$D$599981,Sheet2!A58,Database!$C$4:$C$599981,Sheet2!$R$4),IF(Sheet2!$D$54="PT CG",SUMIFS(Database!$AA$4:$AA$599981,Database!$D$4:$D$599981,Sheet2!A58,Database!$C$4:$C$599981,Sheet2!$R$4),IF(Sheet2!$D$54="PT ITP",SUMIFS(Database!$AB$4:$AB$599981,Database!$D$4:$D$599981,Sheet2!A58,Database!$C$4:$C$599981,Sheet2!$R$4),IF(Sheet2!$D$54="PT SBI",SUMIFS(Database!$AC$4:$AC$599981,Database!$D$4:$D$599981,Sheet2!$A58,Database!$C$4:$C$599981,Sheet2!$R$4),IF(Sheet2!$D$54="PT SG",SUMIFS(Database!$AD$4:$AD$599981,Database!$D$4:$D$599981,Sheet2!A58,Database!$C$4:$C$599981,Sheet2!$R$4),IF(Sheet2!$D$54="PT CCI",SUMIFS(Database!$AE$4:$AE$599981,Database!$D$4:$D$599981,Sheet2!A58,Database!$C$4:$C$599981,Sheet2!$R$4),IF(Sheet2!$D$54="PT ST",SUMIFS(Database!$AF$4:$AF$599981,Database!$D$4:$D$599981,Sheet2!A58,Database!$C$4:$C$599981,Sheet2!$R$4),IF(Sheet2!$D$54="PT SBM",SUMIFS(Database!$AG$4:$AG$599981,Database!$D$4:$D$599981,Sheet2!A58,Database!$C$4:$C$599981,Sheet2!$R$4),SUMIFS(Database!$AH$4:$AH$599981,Database!$D$4:$D$599981,Sheet2!A58,Database!$C$4:$C$599981,Sheet2!$R$4)))))))))))</f>
        <v>0</v>
      </c>
    </row>
    <row r="59" spans="1:12" x14ac:dyDescent="0.35">
      <c r="A59" t="s">
        <v>49</v>
      </c>
      <c r="D59">
        <f>IF($R$4="Nasional",IF($D$54="PT SP",SUMIFS(Database!$Y$4:$Y$599981,Database!$D$4:$D$599981,Sheet2!A59),IF($D$54="PT SB",SUMIFS(Database!$Z$4:$Z$599981,Database!$D$4:$D$599981,Sheet2!A59),IF(Sheet2!$D$54="PT CG",SUMIFS(Database!$AA$4:$AA$599981,Database!$D$4:$D$599981,Sheet2!A59),IF(Sheet2!$D$54="PT ITP",SUMIFS(Database!$AB$4:$AB$599981,Database!$D$4:$D$599981,Sheet2!A59),IF(Sheet2!$D$54="PT SBI",SUMIFS(Database!$AC$4:$AC$599981,Database!$D$4:$D$599981,Sheet2!$A59),IF(Sheet2!$D$54="PT SG",SUMIFS(Database!$AD$4:$AD$599981,Database!$D$4:$D$599981,Sheet2!A59),IF(Sheet2!$D$54="PT CCI",SUMIFS(Database!$AE$4:$AE$599981,Database!$D$4:$D$599981,Sheet2!A59),IF(Sheet2!$D$54="PT ST",SUMIFS(Database!$AF$4:$AF$599981,Database!$D$4:$D$599981,Sheet2!A59),IF(Sheet2!$D$54="PT SBM",SUMIFS(Database!$AG$4:$AG$599981,Database!$D$4:$D$599981,Sheet2!A59),SUMIFS(Database!$AH$4:$AH$599981,Database!$D$4:$D$599981,Sheet2!A59)))))))))),IF($D$54="PT SP",SUMIFS(Database!$Y$4:$Y$599981,Database!$D$4:$D$599981,Sheet2!A59,Database!$C$4:$C$599981,Sheet2!$R$4),IF($D$54="PT SB",SUMIFS(Database!$Z$4:$Z$599981,Database!$D$4:$D$599981,Sheet2!A59,Database!$C$4:$C$599981,Sheet2!$R$4),IF(Sheet2!$D$54="PT CG",SUMIFS(Database!$AA$4:$AA$599981,Database!$D$4:$D$599981,Sheet2!A59,Database!$C$4:$C$599981,Sheet2!$R$4),IF(Sheet2!$D$54="PT ITP",SUMIFS(Database!$AB$4:$AB$599981,Database!$D$4:$D$599981,Sheet2!A59,Database!$C$4:$C$599981,Sheet2!$R$4),IF(Sheet2!$D$54="PT SBI",SUMIFS(Database!$AC$4:$AC$599981,Database!$D$4:$D$599981,Sheet2!$A59,Database!$C$4:$C$599981,Sheet2!$R$4),IF(Sheet2!$D$54="PT SG",SUMIFS(Database!$AD$4:$AD$599981,Database!$D$4:$D$599981,Sheet2!A59,Database!$C$4:$C$599981,Sheet2!$R$4),IF(Sheet2!$D$54="PT CCI",SUMIFS(Database!$AE$4:$AE$599981,Database!$D$4:$D$599981,Sheet2!A59,Database!$C$4:$C$599981,Sheet2!$R$4),IF(Sheet2!$D$54="PT ST",SUMIFS(Database!$AF$4:$AF$599981,Database!$D$4:$D$599981,Sheet2!A59,Database!$C$4:$C$599981,Sheet2!$R$4),IF(Sheet2!$D$54="PT SBM",SUMIFS(Database!$AG$4:$AG$599981,Database!$D$4:$D$599981,Sheet2!A59,Database!$C$4:$C$599981,Sheet2!$R$4),SUMIFS(Database!$AH$4:$AH$599981,Database!$D$4:$D$599981,Sheet2!A59,Database!$C$4:$C$599981,Sheet2!$R$4)))))))))))</f>
        <v>0</v>
      </c>
    </row>
    <row r="60" spans="1:12" x14ac:dyDescent="0.35">
      <c r="A60" t="s">
        <v>50</v>
      </c>
      <c r="D60">
        <f>IF($R$4="Nasional",IF($D$54="PT SP",SUMIFS(Database!$Y$4:$Y$599981,Database!$D$4:$D$599981,Sheet2!A60),IF($D$54="PT SB",SUMIFS(Database!$Z$4:$Z$599981,Database!$D$4:$D$599981,Sheet2!A60),IF(Sheet2!$D$54="PT CG",SUMIFS(Database!$AA$4:$AA$599981,Database!$D$4:$D$599981,Sheet2!A60),IF(Sheet2!$D$54="PT ITP",SUMIFS(Database!$AB$4:$AB$599981,Database!$D$4:$D$599981,Sheet2!A60),IF(Sheet2!$D$54="PT SBI",SUMIFS(Database!$AC$4:$AC$599981,Database!$D$4:$D$599981,Sheet2!$A60),IF(Sheet2!$D$54="PT SG",SUMIFS(Database!$AD$4:$AD$599981,Database!$D$4:$D$599981,Sheet2!A60),IF(Sheet2!$D$54="PT CCI",SUMIFS(Database!$AE$4:$AE$599981,Database!$D$4:$D$599981,Sheet2!A60),IF(Sheet2!$D$54="PT ST",SUMIFS(Database!$AF$4:$AF$599981,Database!$D$4:$D$599981,Sheet2!A60),IF(Sheet2!$D$54="PT SBM",SUMIFS(Database!$AG$4:$AG$599981,Database!$D$4:$D$599981,Sheet2!A60),SUMIFS(Database!$AH$4:$AH$599981,Database!$D$4:$D$599981,Sheet2!A60)))))))))),IF($D$54="PT SP",SUMIFS(Database!$Y$4:$Y$599981,Database!$D$4:$D$599981,Sheet2!A60,Database!$C$4:$C$599981,Sheet2!$R$4),IF($D$54="PT SB",SUMIFS(Database!$Z$4:$Z$599981,Database!$D$4:$D$599981,Sheet2!A60,Database!$C$4:$C$599981,Sheet2!$R$4),IF(Sheet2!$D$54="PT CG",SUMIFS(Database!$AA$4:$AA$599981,Database!$D$4:$D$599981,Sheet2!A60,Database!$C$4:$C$599981,Sheet2!$R$4),IF(Sheet2!$D$54="PT ITP",SUMIFS(Database!$AB$4:$AB$599981,Database!$D$4:$D$599981,Sheet2!A60,Database!$C$4:$C$599981,Sheet2!$R$4),IF(Sheet2!$D$54="PT SBI",SUMIFS(Database!$AC$4:$AC$599981,Database!$D$4:$D$599981,Sheet2!$A60,Database!$C$4:$C$599981,Sheet2!$R$4),IF(Sheet2!$D$54="PT SG",SUMIFS(Database!$AD$4:$AD$599981,Database!$D$4:$D$599981,Sheet2!A60,Database!$C$4:$C$599981,Sheet2!$R$4),IF(Sheet2!$D$54="PT CCI",SUMIFS(Database!$AE$4:$AE$599981,Database!$D$4:$D$599981,Sheet2!A60,Database!$C$4:$C$599981,Sheet2!$R$4),IF(Sheet2!$D$54="PT ST",SUMIFS(Database!$AF$4:$AF$599981,Database!$D$4:$D$599981,Sheet2!A60,Database!$C$4:$C$599981,Sheet2!$R$4),IF(Sheet2!$D$54="PT SBM",SUMIFS(Database!$AG$4:$AG$599981,Database!$D$4:$D$599981,Sheet2!A60,Database!$C$4:$C$599981,Sheet2!$R$4),SUMIFS(Database!$AH$4:$AH$599981,Database!$D$4:$D$599981,Sheet2!A60,Database!$C$4:$C$599981,Sheet2!$R$4)))))))))))</f>
        <v>0</v>
      </c>
    </row>
    <row r="61" spans="1:12" x14ac:dyDescent="0.35">
      <c r="A61" t="s">
        <v>51</v>
      </c>
      <c r="D61">
        <f>IF($R$4="Nasional",IF($D$54="PT SP",SUMIFS(Database!$Y$4:$Y$599981,Database!$D$4:$D$599981,Sheet2!A61),IF($D$54="PT SB",SUMIFS(Database!$Z$4:$Z$599981,Database!$D$4:$D$599981,Sheet2!A61),IF(Sheet2!$D$54="PT CG",SUMIFS(Database!$AA$4:$AA$599981,Database!$D$4:$D$599981,Sheet2!A61),IF(Sheet2!$D$54="PT ITP",SUMIFS(Database!$AB$4:$AB$599981,Database!$D$4:$D$599981,Sheet2!A61),IF(Sheet2!$D$54="PT SBI",SUMIFS(Database!$AC$4:$AC$599981,Database!$D$4:$D$599981,Sheet2!$A61),IF(Sheet2!$D$54="PT SG",SUMIFS(Database!$AD$4:$AD$599981,Database!$D$4:$D$599981,Sheet2!A61),IF(Sheet2!$D$54="PT CCI",SUMIFS(Database!$AE$4:$AE$599981,Database!$D$4:$D$599981,Sheet2!A61),IF(Sheet2!$D$54="PT ST",SUMIFS(Database!$AF$4:$AF$599981,Database!$D$4:$D$599981,Sheet2!A61),IF(Sheet2!$D$54="PT SBM",SUMIFS(Database!$AG$4:$AG$599981,Database!$D$4:$D$599981,Sheet2!A61),SUMIFS(Database!$AH$4:$AH$599981,Database!$D$4:$D$599981,Sheet2!A61)))))))))),IF($D$54="PT SP",SUMIFS(Database!$Y$4:$Y$599981,Database!$D$4:$D$599981,Sheet2!A61,Database!$C$4:$C$599981,Sheet2!$R$4),IF($D$54="PT SB",SUMIFS(Database!$Z$4:$Z$599981,Database!$D$4:$D$599981,Sheet2!A61,Database!$C$4:$C$599981,Sheet2!$R$4),IF(Sheet2!$D$54="PT CG",SUMIFS(Database!$AA$4:$AA$599981,Database!$D$4:$D$599981,Sheet2!A61,Database!$C$4:$C$599981,Sheet2!$R$4),IF(Sheet2!$D$54="PT ITP",SUMIFS(Database!$AB$4:$AB$599981,Database!$D$4:$D$599981,Sheet2!A61,Database!$C$4:$C$599981,Sheet2!$R$4),IF(Sheet2!$D$54="PT SBI",SUMIFS(Database!$AC$4:$AC$599981,Database!$D$4:$D$599981,Sheet2!$A61,Database!$C$4:$C$599981,Sheet2!$R$4),IF(Sheet2!$D$54="PT SG",SUMIFS(Database!$AD$4:$AD$599981,Database!$D$4:$D$599981,Sheet2!A61,Database!$C$4:$C$599981,Sheet2!$R$4),IF(Sheet2!$D$54="PT CCI",SUMIFS(Database!$AE$4:$AE$599981,Database!$D$4:$D$599981,Sheet2!A61,Database!$C$4:$C$599981,Sheet2!$R$4),IF(Sheet2!$D$54="PT ST",SUMIFS(Database!$AF$4:$AF$599981,Database!$D$4:$D$599981,Sheet2!A61,Database!$C$4:$C$599981,Sheet2!$R$4),IF(Sheet2!$D$54="PT SBM",SUMIFS(Database!$AG$4:$AG$599981,Database!$D$4:$D$599981,Sheet2!A61,Database!$C$4:$C$599981,Sheet2!$R$4),SUMIFS(Database!$AH$4:$AH$599981,Database!$D$4:$D$599981,Sheet2!A61,Database!$C$4:$C$599981,Sheet2!$R$4)))))))))))</f>
        <v>0</v>
      </c>
    </row>
    <row r="62" spans="1:12" x14ac:dyDescent="0.35">
      <c r="A62" t="s">
        <v>52</v>
      </c>
      <c r="D62">
        <f>IF($R$4="Nasional",IF($D$54="PT SP",SUMIFS(Database!$Y$4:$Y$599981,Database!$D$4:$D$599981,Sheet2!A62),IF($D$54="PT SB",SUMIFS(Database!$Z$4:$Z$599981,Database!$D$4:$D$599981,Sheet2!A62),IF(Sheet2!$D$54="PT CG",SUMIFS(Database!$AA$4:$AA$599981,Database!$D$4:$D$599981,Sheet2!A62),IF(Sheet2!$D$54="PT ITP",SUMIFS(Database!$AB$4:$AB$599981,Database!$D$4:$D$599981,Sheet2!A62),IF(Sheet2!$D$54="PT SBI",SUMIFS(Database!$AC$4:$AC$599981,Database!$D$4:$D$599981,Sheet2!$A62),IF(Sheet2!$D$54="PT SG",SUMIFS(Database!$AD$4:$AD$599981,Database!$D$4:$D$599981,Sheet2!A62),IF(Sheet2!$D$54="PT CCI",SUMIFS(Database!$AE$4:$AE$599981,Database!$D$4:$D$599981,Sheet2!A62),IF(Sheet2!$D$54="PT ST",SUMIFS(Database!$AF$4:$AF$599981,Database!$D$4:$D$599981,Sheet2!A62),IF(Sheet2!$D$54="PT SBM",SUMIFS(Database!$AG$4:$AG$599981,Database!$D$4:$D$599981,Sheet2!A62),SUMIFS(Database!$AH$4:$AH$599981,Database!$D$4:$D$599981,Sheet2!A62)))))))))),IF($D$54="PT SP",SUMIFS(Database!$Y$4:$Y$599981,Database!$D$4:$D$599981,Sheet2!A62,Database!$C$4:$C$599981,Sheet2!$R$4),IF($D$54="PT SB",SUMIFS(Database!$Z$4:$Z$599981,Database!$D$4:$D$599981,Sheet2!A62,Database!$C$4:$C$599981,Sheet2!$R$4),IF(Sheet2!$D$54="PT CG",SUMIFS(Database!$AA$4:$AA$599981,Database!$D$4:$D$599981,Sheet2!A62,Database!$C$4:$C$599981,Sheet2!$R$4),IF(Sheet2!$D$54="PT ITP",SUMIFS(Database!$AB$4:$AB$599981,Database!$D$4:$D$599981,Sheet2!A62,Database!$C$4:$C$599981,Sheet2!$R$4),IF(Sheet2!$D$54="PT SBI",SUMIFS(Database!$AC$4:$AC$599981,Database!$D$4:$D$599981,Sheet2!$A62,Database!$C$4:$C$599981,Sheet2!$R$4),IF(Sheet2!$D$54="PT SG",SUMIFS(Database!$AD$4:$AD$599981,Database!$D$4:$D$599981,Sheet2!A62,Database!$C$4:$C$599981,Sheet2!$R$4),IF(Sheet2!$D$54="PT CCI",SUMIFS(Database!$AE$4:$AE$599981,Database!$D$4:$D$599981,Sheet2!A62,Database!$C$4:$C$599981,Sheet2!$R$4),IF(Sheet2!$D$54="PT ST",SUMIFS(Database!$AF$4:$AF$599981,Database!$D$4:$D$599981,Sheet2!A62,Database!$C$4:$C$599981,Sheet2!$R$4),IF(Sheet2!$D$54="PT SBM",SUMIFS(Database!$AG$4:$AG$599981,Database!$D$4:$D$599981,Sheet2!A62,Database!$C$4:$C$599981,Sheet2!$R$4),SUMIFS(Database!$AH$4:$AH$599981,Database!$D$4:$D$599981,Sheet2!A62,Database!$C$4:$C$599981,Sheet2!$R$4)))))))))))</f>
        <v>0</v>
      </c>
    </row>
    <row r="63" spans="1:12" x14ac:dyDescent="0.35">
      <c r="A63" t="s">
        <v>53</v>
      </c>
      <c r="D63">
        <f>IF($R$4="Nasional",IF($D$54="PT SP",SUMIFS(Database!$Y$4:$Y$599981,Database!$D$4:$D$599981,Sheet2!A63),IF($D$54="PT SB",SUMIFS(Database!$Z$4:$Z$599981,Database!$D$4:$D$599981,Sheet2!A63),IF(Sheet2!$D$54="PT CG",SUMIFS(Database!$AA$4:$AA$599981,Database!$D$4:$D$599981,Sheet2!A63),IF(Sheet2!$D$54="PT ITP",SUMIFS(Database!$AB$4:$AB$599981,Database!$D$4:$D$599981,Sheet2!A63),IF(Sheet2!$D$54="PT SBI",SUMIFS(Database!$AC$4:$AC$599981,Database!$D$4:$D$599981,Sheet2!$A63),IF(Sheet2!$D$54="PT SG",SUMIFS(Database!$AD$4:$AD$599981,Database!$D$4:$D$599981,Sheet2!A63),IF(Sheet2!$D$54="PT CCI",SUMIFS(Database!$AE$4:$AE$599981,Database!$D$4:$D$599981,Sheet2!A63),IF(Sheet2!$D$54="PT ST",SUMIFS(Database!$AF$4:$AF$599981,Database!$D$4:$D$599981,Sheet2!A63),IF(Sheet2!$D$54="PT SBM",SUMIFS(Database!$AG$4:$AG$599981,Database!$D$4:$D$599981,Sheet2!A63),SUMIFS(Database!$AH$4:$AH$599981,Database!$D$4:$D$599981,Sheet2!A63)))))))))),IF($D$54="PT SP",SUMIFS(Database!$Y$4:$Y$599981,Database!$D$4:$D$599981,Sheet2!A63,Database!$C$4:$C$599981,Sheet2!$R$4),IF($D$54="PT SB",SUMIFS(Database!$Z$4:$Z$599981,Database!$D$4:$D$599981,Sheet2!A63,Database!$C$4:$C$599981,Sheet2!$R$4),IF(Sheet2!$D$54="PT CG",SUMIFS(Database!$AA$4:$AA$599981,Database!$D$4:$D$599981,Sheet2!A63,Database!$C$4:$C$599981,Sheet2!$R$4),IF(Sheet2!$D$54="PT ITP",SUMIFS(Database!$AB$4:$AB$599981,Database!$D$4:$D$599981,Sheet2!A63,Database!$C$4:$C$599981,Sheet2!$R$4),IF(Sheet2!$D$54="PT SBI",SUMIFS(Database!$AC$4:$AC$599981,Database!$D$4:$D$599981,Sheet2!$A63,Database!$C$4:$C$599981,Sheet2!$R$4),IF(Sheet2!$D$54="PT SG",SUMIFS(Database!$AD$4:$AD$599981,Database!$D$4:$D$599981,Sheet2!A63,Database!$C$4:$C$599981,Sheet2!$R$4),IF(Sheet2!$D$54="PT CCI",SUMIFS(Database!$AE$4:$AE$599981,Database!$D$4:$D$599981,Sheet2!A63,Database!$C$4:$C$599981,Sheet2!$R$4),IF(Sheet2!$D$54="PT ST",SUMIFS(Database!$AF$4:$AF$599981,Database!$D$4:$D$599981,Sheet2!A63,Database!$C$4:$C$599981,Sheet2!$R$4),IF(Sheet2!$D$54="PT SBM",SUMIFS(Database!$AG$4:$AG$599981,Database!$D$4:$D$599981,Sheet2!A63,Database!$C$4:$C$599981,Sheet2!$R$4),SUMIFS(Database!$AH$4:$AH$599981,Database!$D$4:$D$599981,Sheet2!A63,Database!$C$4:$C$599981,Sheet2!$R$4)))))))))))</f>
        <v>0</v>
      </c>
    </row>
    <row r="64" spans="1:12" x14ac:dyDescent="0.35">
      <c r="A64" t="s">
        <v>54</v>
      </c>
      <c r="D64">
        <f>IF($R$4="Nasional",IF($D$54="PT SP",SUMIFS(Database!$Y$4:$Y$599981,Database!$D$4:$D$599981,Sheet2!A64),IF($D$54="PT SB",SUMIFS(Database!$Z$4:$Z$599981,Database!$D$4:$D$599981,Sheet2!A64),IF(Sheet2!$D$54="PT CG",SUMIFS(Database!$AA$4:$AA$599981,Database!$D$4:$D$599981,Sheet2!A64),IF(Sheet2!$D$54="PT ITP",SUMIFS(Database!$AB$4:$AB$599981,Database!$D$4:$D$599981,Sheet2!A64),IF(Sheet2!$D$54="PT SBI",SUMIFS(Database!$AC$4:$AC$599981,Database!$D$4:$D$599981,Sheet2!$A64),IF(Sheet2!$D$54="PT SG",SUMIFS(Database!$AD$4:$AD$599981,Database!$D$4:$D$599981,Sheet2!A64),IF(Sheet2!$D$54="PT CCI",SUMIFS(Database!$AE$4:$AE$599981,Database!$D$4:$D$599981,Sheet2!A64),IF(Sheet2!$D$54="PT ST",SUMIFS(Database!$AF$4:$AF$599981,Database!$D$4:$D$599981,Sheet2!A64),IF(Sheet2!$D$54="PT SBM",SUMIFS(Database!$AG$4:$AG$599981,Database!$D$4:$D$599981,Sheet2!A64),SUMIFS(Database!$AH$4:$AH$599981,Database!$D$4:$D$599981,Sheet2!A64)))))))))),IF($D$54="PT SP",SUMIFS(Database!$Y$4:$Y$599981,Database!$D$4:$D$599981,Sheet2!A64,Database!$C$4:$C$599981,Sheet2!$R$4),IF($D$54="PT SB",SUMIFS(Database!$Z$4:$Z$599981,Database!$D$4:$D$599981,Sheet2!A64,Database!$C$4:$C$599981,Sheet2!$R$4),IF(Sheet2!$D$54="PT CG",SUMIFS(Database!$AA$4:$AA$599981,Database!$D$4:$D$599981,Sheet2!A64,Database!$C$4:$C$599981,Sheet2!$R$4),IF(Sheet2!$D$54="PT ITP",SUMIFS(Database!$AB$4:$AB$599981,Database!$D$4:$D$599981,Sheet2!A64,Database!$C$4:$C$599981,Sheet2!$R$4),IF(Sheet2!$D$54="PT SBI",SUMIFS(Database!$AC$4:$AC$599981,Database!$D$4:$D$599981,Sheet2!$A64,Database!$C$4:$C$599981,Sheet2!$R$4),IF(Sheet2!$D$54="PT SG",SUMIFS(Database!$AD$4:$AD$599981,Database!$D$4:$D$599981,Sheet2!A64,Database!$C$4:$C$599981,Sheet2!$R$4),IF(Sheet2!$D$54="PT CCI",SUMIFS(Database!$AE$4:$AE$599981,Database!$D$4:$D$599981,Sheet2!A64,Database!$C$4:$C$599981,Sheet2!$R$4),IF(Sheet2!$D$54="PT ST",SUMIFS(Database!$AF$4:$AF$599981,Database!$D$4:$D$599981,Sheet2!A64,Database!$C$4:$C$599981,Sheet2!$R$4),IF(Sheet2!$D$54="PT SBM",SUMIFS(Database!$AG$4:$AG$599981,Database!$D$4:$D$599981,Sheet2!A64,Database!$C$4:$C$599981,Sheet2!$R$4),SUMIFS(Database!$AH$4:$AH$599981,Database!$D$4:$D$599981,Sheet2!A64,Database!$C$4:$C$599981,Sheet2!$R$4)))))))))))</f>
        <v>16000</v>
      </c>
    </row>
    <row r="65" spans="1:4" x14ac:dyDescent="0.35">
      <c r="A65" t="s">
        <v>55</v>
      </c>
      <c r="D65">
        <f>IF($R$4="Nasional",IF($D$54="PT SP",SUMIFS(Database!$Y$4:$Y$599981,Database!$D$4:$D$599981,Sheet2!A65),IF($D$54="PT SB",SUMIFS(Database!$Z$4:$Z$599981,Database!$D$4:$D$599981,Sheet2!A65),IF(Sheet2!$D$54="PT CG",SUMIFS(Database!$AA$4:$AA$599981,Database!$D$4:$D$599981,Sheet2!A65),IF(Sheet2!$D$54="PT ITP",SUMIFS(Database!$AB$4:$AB$599981,Database!$D$4:$D$599981,Sheet2!A65),IF(Sheet2!$D$54="PT SBI",SUMIFS(Database!$AC$4:$AC$599981,Database!$D$4:$D$599981,Sheet2!$A65),IF(Sheet2!$D$54="PT SG",SUMIFS(Database!$AD$4:$AD$599981,Database!$D$4:$D$599981,Sheet2!A65),IF(Sheet2!$D$54="PT CCI",SUMIFS(Database!$AE$4:$AE$599981,Database!$D$4:$D$599981,Sheet2!A65),IF(Sheet2!$D$54="PT ST",SUMIFS(Database!$AF$4:$AF$599981,Database!$D$4:$D$599981,Sheet2!A65),IF(Sheet2!$D$54="PT SBM",SUMIFS(Database!$AG$4:$AG$599981,Database!$D$4:$D$599981,Sheet2!A65),SUMIFS(Database!$AH$4:$AH$599981,Database!$D$4:$D$599981,Sheet2!A65)))))))))),IF($D$54="PT SP",SUMIFS(Database!$Y$4:$Y$599981,Database!$D$4:$D$599981,Sheet2!A65,Database!$C$4:$C$599981,Sheet2!$R$4),IF($D$54="PT SB",SUMIFS(Database!$Z$4:$Z$599981,Database!$D$4:$D$599981,Sheet2!A65,Database!$C$4:$C$599981,Sheet2!$R$4),IF(Sheet2!$D$54="PT CG",SUMIFS(Database!$AA$4:$AA$599981,Database!$D$4:$D$599981,Sheet2!A65,Database!$C$4:$C$599981,Sheet2!$R$4),IF(Sheet2!$D$54="PT ITP",SUMIFS(Database!$AB$4:$AB$599981,Database!$D$4:$D$599981,Sheet2!A65,Database!$C$4:$C$599981,Sheet2!$R$4),IF(Sheet2!$D$54="PT SBI",SUMIFS(Database!$AC$4:$AC$599981,Database!$D$4:$D$599981,Sheet2!$A65,Database!$C$4:$C$599981,Sheet2!$R$4),IF(Sheet2!$D$54="PT SG",SUMIFS(Database!$AD$4:$AD$599981,Database!$D$4:$D$599981,Sheet2!A65,Database!$C$4:$C$599981,Sheet2!$R$4),IF(Sheet2!$D$54="PT CCI",SUMIFS(Database!$AE$4:$AE$599981,Database!$D$4:$D$599981,Sheet2!A65,Database!$C$4:$C$599981,Sheet2!$R$4),IF(Sheet2!$D$54="PT ST",SUMIFS(Database!$AF$4:$AF$599981,Database!$D$4:$D$599981,Sheet2!A65,Database!$C$4:$C$599981,Sheet2!$R$4),IF(Sheet2!$D$54="PT SBM",SUMIFS(Database!$AG$4:$AG$599981,Database!$D$4:$D$599981,Sheet2!A65,Database!$C$4:$C$599981,Sheet2!$R$4),SUMIFS(Database!$AH$4:$AH$599981,Database!$D$4:$D$599981,Sheet2!A65,Database!$C$4:$C$599981,Sheet2!$R$4)))))))))))</f>
        <v>0</v>
      </c>
    </row>
    <row r="66" spans="1:4" x14ac:dyDescent="0.35">
      <c r="A66" t="s">
        <v>56</v>
      </c>
      <c r="D66">
        <f>IF($R$4="Nasional",IF($D$54="PT SP",SUMIFS(Database!$Y$4:$Y$599981,Database!$D$4:$D$599981,Sheet2!A66),IF($D$54="PT SB",SUMIFS(Database!$Z$4:$Z$599981,Database!$D$4:$D$599981,Sheet2!A66),IF(Sheet2!$D$54="PT CG",SUMIFS(Database!$AA$4:$AA$599981,Database!$D$4:$D$599981,Sheet2!A66),IF(Sheet2!$D$54="PT ITP",SUMIFS(Database!$AB$4:$AB$599981,Database!$D$4:$D$599981,Sheet2!A66),IF(Sheet2!$D$54="PT SBI",SUMIFS(Database!$AC$4:$AC$599981,Database!$D$4:$D$599981,Sheet2!$A66),IF(Sheet2!$D$54="PT SG",SUMIFS(Database!$AD$4:$AD$599981,Database!$D$4:$D$599981,Sheet2!A66),IF(Sheet2!$D$54="PT CCI",SUMIFS(Database!$AE$4:$AE$599981,Database!$D$4:$D$599981,Sheet2!A66),IF(Sheet2!$D$54="PT ST",SUMIFS(Database!$AF$4:$AF$599981,Database!$D$4:$D$599981,Sheet2!A66),IF(Sheet2!$D$54="PT SBM",SUMIFS(Database!$AG$4:$AG$599981,Database!$D$4:$D$599981,Sheet2!A66),SUMIFS(Database!$AH$4:$AH$599981,Database!$D$4:$D$599981,Sheet2!A66)))))))))),IF($D$54="PT SP",SUMIFS(Database!$Y$4:$Y$599981,Database!$D$4:$D$599981,Sheet2!A66,Database!$C$4:$C$599981,Sheet2!$R$4),IF($D$54="PT SB",SUMIFS(Database!$Z$4:$Z$599981,Database!$D$4:$D$599981,Sheet2!A66,Database!$C$4:$C$599981,Sheet2!$R$4),IF(Sheet2!$D$54="PT CG",SUMIFS(Database!$AA$4:$AA$599981,Database!$D$4:$D$599981,Sheet2!A66,Database!$C$4:$C$599981,Sheet2!$R$4),IF(Sheet2!$D$54="PT ITP",SUMIFS(Database!$AB$4:$AB$599981,Database!$D$4:$D$599981,Sheet2!A66,Database!$C$4:$C$599981,Sheet2!$R$4),IF(Sheet2!$D$54="PT SBI",SUMIFS(Database!$AC$4:$AC$599981,Database!$D$4:$D$599981,Sheet2!$A66,Database!$C$4:$C$599981,Sheet2!$R$4),IF(Sheet2!$D$54="PT SG",SUMIFS(Database!$AD$4:$AD$599981,Database!$D$4:$D$599981,Sheet2!A66,Database!$C$4:$C$599981,Sheet2!$R$4),IF(Sheet2!$D$54="PT CCI",SUMIFS(Database!$AE$4:$AE$599981,Database!$D$4:$D$599981,Sheet2!A66,Database!$C$4:$C$599981,Sheet2!$R$4),IF(Sheet2!$D$54="PT ST",SUMIFS(Database!$AF$4:$AF$599981,Database!$D$4:$D$599981,Sheet2!A66,Database!$C$4:$C$599981,Sheet2!$R$4),IF(Sheet2!$D$54="PT SBM",SUMIFS(Database!$AG$4:$AG$599981,Database!$D$4:$D$599981,Sheet2!A66,Database!$C$4:$C$599981,Sheet2!$R$4),SUMIFS(Database!$AH$4:$AH$599981,Database!$D$4:$D$599981,Sheet2!A66,Database!$C$4:$C$599981,Sheet2!$R$4)))))))))))</f>
        <v>0</v>
      </c>
    </row>
    <row r="67" spans="1:4" x14ac:dyDescent="0.35">
      <c r="A67" t="s">
        <v>57</v>
      </c>
      <c r="D67">
        <f>IF($R$4="Nasional",IF($D$54="PT SP",SUMIFS(Database!$Y$4:$Y$599981,Database!$D$4:$D$599981,Sheet2!A67),IF($D$54="PT SB",SUMIFS(Database!$Z$4:$Z$599981,Database!$D$4:$D$599981,Sheet2!A67),IF(Sheet2!$D$54="PT CG",SUMIFS(Database!$AA$4:$AA$599981,Database!$D$4:$D$599981,Sheet2!A67),IF(Sheet2!$D$54="PT ITP",SUMIFS(Database!$AB$4:$AB$599981,Database!$D$4:$D$599981,Sheet2!A67),IF(Sheet2!$D$54="PT SBI",SUMIFS(Database!$AC$4:$AC$599981,Database!$D$4:$D$599981,Sheet2!$A67),IF(Sheet2!$D$54="PT SG",SUMIFS(Database!$AD$4:$AD$599981,Database!$D$4:$D$599981,Sheet2!A67),IF(Sheet2!$D$54="PT CCI",SUMIFS(Database!$AE$4:$AE$599981,Database!$D$4:$D$599981,Sheet2!A67),IF(Sheet2!$D$54="PT ST",SUMIFS(Database!$AF$4:$AF$599981,Database!$D$4:$D$599981,Sheet2!A67),IF(Sheet2!$D$54="PT SBM",SUMIFS(Database!$AG$4:$AG$599981,Database!$D$4:$D$599981,Sheet2!A67),SUMIFS(Database!$AH$4:$AH$599981,Database!$D$4:$D$599981,Sheet2!A67)))))))))),IF($D$54="PT SP",SUMIFS(Database!$Y$4:$Y$599981,Database!$D$4:$D$599981,Sheet2!A67,Database!$C$4:$C$599981,Sheet2!$R$4),IF($D$54="PT SB",SUMIFS(Database!$Z$4:$Z$599981,Database!$D$4:$D$599981,Sheet2!A67,Database!$C$4:$C$599981,Sheet2!$R$4),IF(Sheet2!$D$54="PT CG",SUMIFS(Database!$AA$4:$AA$599981,Database!$D$4:$D$599981,Sheet2!A67,Database!$C$4:$C$599981,Sheet2!$R$4),IF(Sheet2!$D$54="PT ITP",SUMIFS(Database!$AB$4:$AB$599981,Database!$D$4:$D$599981,Sheet2!A67,Database!$C$4:$C$599981,Sheet2!$R$4),IF(Sheet2!$D$54="PT SBI",SUMIFS(Database!$AC$4:$AC$599981,Database!$D$4:$D$599981,Sheet2!$A67,Database!$C$4:$C$599981,Sheet2!$R$4),IF(Sheet2!$D$54="PT SG",SUMIFS(Database!$AD$4:$AD$599981,Database!$D$4:$D$599981,Sheet2!A67,Database!$C$4:$C$599981,Sheet2!$R$4),IF(Sheet2!$D$54="PT CCI",SUMIFS(Database!$AE$4:$AE$599981,Database!$D$4:$D$599981,Sheet2!A67,Database!$C$4:$C$599981,Sheet2!$R$4),IF(Sheet2!$D$54="PT ST",SUMIFS(Database!$AF$4:$AF$599981,Database!$D$4:$D$599981,Sheet2!A67,Database!$C$4:$C$599981,Sheet2!$R$4),IF(Sheet2!$D$54="PT SBM",SUMIFS(Database!$AG$4:$AG$599981,Database!$D$4:$D$599981,Sheet2!A67,Database!$C$4:$C$599981,Sheet2!$R$4),SUMIFS(Database!$AH$4:$AH$599981,Database!$D$4:$D$599981,Sheet2!A67,Database!$C$4:$C$599981,Sheet2!$R$4)))))))))))</f>
        <v>0</v>
      </c>
    </row>
    <row r="68" spans="1:4" x14ac:dyDescent="0.35">
      <c r="A68" t="s">
        <v>58</v>
      </c>
      <c r="D68">
        <f>IF($R$4="Nasional",IF($D$54="PT SP",SUMIFS(Database!$Y$4:$Y$599981,Database!$D$4:$D$599981,Sheet2!A68),IF($D$54="PT SB",SUMIFS(Database!$Z$4:$Z$599981,Database!$D$4:$D$599981,Sheet2!A68),IF(Sheet2!$D$54="PT CG",SUMIFS(Database!$AA$4:$AA$599981,Database!$D$4:$D$599981,Sheet2!A68),IF(Sheet2!$D$54="PT ITP",SUMIFS(Database!$AB$4:$AB$599981,Database!$D$4:$D$599981,Sheet2!A68),IF(Sheet2!$D$54="PT SBI",SUMIFS(Database!$AC$4:$AC$599981,Database!$D$4:$D$599981,Sheet2!$A68),IF(Sheet2!$D$54="PT SG",SUMIFS(Database!$AD$4:$AD$599981,Database!$D$4:$D$599981,Sheet2!A68),IF(Sheet2!$D$54="PT CCI",SUMIFS(Database!$AE$4:$AE$599981,Database!$D$4:$D$599981,Sheet2!A68),IF(Sheet2!$D$54="PT ST",SUMIFS(Database!$AF$4:$AF$599981,Database!$D$4:$D$599981,Sheet2!A68),IF(Sheet2!$D$54="PT SBM",SUMIFS(Database!$AG$4:$AG$599981,Database!$D$4:$D$599981,Sheet2!A68),SUMIFS(Database!$AH$4:$AH$599981,Database!$D$4:$D$599981,Sheet2!A68)))))))))),IF($D$54="PT SP",SUMIFS(Database!$Y$4:$Y$599981,Database!$D$4:$D$599981,Sheet2!A68,Database!$C$4:$C$599981,Sheet2!$R$4),IF($D$54="PT SB",SUMIFS(Database!$Z$4:$Z$599981,Database!$D$4:$D$599981,Sheet2!A68,Database!$C$4:$C$599981,Sheet2!$R$4),IF(Sheet2!$D$54="PT CG",SUMIFS(Database!$AA$4:$AA$599981,Database!$D$4:$D$599981,Sheet2!A68,Database!$C$4:$C$599981,Sheet2!$R$4),IF(Sheet2!$D$54="PT ITP",SUMIFS(Database!$AB$4:$AB$599981,Database!$D$4:$D$599981,Sheet2!A68,Database!$C$4:$C$599981,Sheet2!$R$4),IF(Sheet2!$D$54="PT SBI",SUMIFS(Database!$AC$4:$AC$599981,Database!$D$4:$D$599981,Sheet2!$A68,Database!$C$4:$C$599981,Sheet2!$R$4),IF(Sheet2!$D$54="PT SG",SUMIFS(Database!$AD$4:$AD$599981,Database!$D$4:$D$599981,Sheet2!A68,Database!$C$4:$C$599981,Sheet2!$R$4),IF(Sheet2!$D$54="PT CCI",SUMIFS(Database!$AE$4:$AE$599981,Database!$D$4:$D$599981,Sheet2!A68,Database!$C$4:$C$599981,Sheet2!$R$4),IF(Sheet2!$D$54="PT ST",SUMIFS(Database!$AF$4:$AF$599981,Database!$D$4:$D$599981,Sheet2!A68,Database!$C$4:$C$599981,Sheet2!$R$4),IF(Sheet2!$D$54="PT SBM",SUMIFS(Database!$AG$4:$AG$599981,Database!$D$4:$D$599981,Sheet2!A68,Database!$C$4:$C$599981,Sheet2!$R$4),SUMIFS(Database!$AH$4:$AH$599981,Database!$D$4:$D$599981,Sheet2!A68,Database!$C$4:$C$599981,Sheet2!$R$4)))))))))))</f>
        <v>0</v>
      </c>
    </row>
    <row r="69" spans="1:4" x14ac:dyDescent="0.35">
      <c r="A69" t="s">
        <v>59</v>
      </c>
      <c r="D69">
        <f>IF($R$4="Nasional",IF($D$54="PT SP",SUMIFS(Database!$Y$4:$Y$599981,Database!$D$4:$D$599981,Sheet2!A69),IF($D$54="PT SB",SUMIFS(Database!$Z$4:$Z$599981,Database!$D$4:$D$599981,Sheet2!A69),IF(Sheet2!$D$54="PT CG",SUMIFS(Database!$AA$4:$AA$599981,Database!$D$4:$D$599981,Sheet2!A69),IF(Sheet2!$D$54="PT ITP",SUMIFS(Database!$AB$4:$AB$599981,Database!$D$4:$D$599981,Sheet2!A69),IF(Sheet2!$D$54="PT SBI",SUMIFS(Database!$AC$4:$AC$599981,Database!$D$4:$D$599981,Sheet2!$A69),IF(Sheet2!$D$54="PT SG",SUMIFS(Database!$AD$4:$AD$599981,Database!$D$4:$D$599981,Sheet2!A69),IF(Sheet2!$D$54="PT CCI",SUMIFS(Database!$AE$4:$AE$599981,Database!$D$4:$D$599981,Sheet2!A69),IF(Sheet2!$D$54="PT ST",SUMIFS(Database!$AF$4:$AF$599981,Database!$D$4:$D$599981,Sheet2!A69),IF(Sheet2!$D$54="PT SBM",SUMIFS(Database!$AG$4:$AG$599981,Database!$D$4:$D$599981,Sheet2!A69),SUMIFS(Database!$AH$4:$AH$599981,Database!$D$4:$D$599981,Sheet2!A69)))))))))),IF($D$54="PT SP",SUMIFS(Database!$Y$4:$Y$599981,Database!$D$4:$D$599981,Sheet2!A69,Database!$C$4:$C$599981,Sheet2!$R$4),IF($D$54="PT SB",SUMIFS(Database!$Z$4:$Z$599981,Database!$D$4:$D$599981,Sheet2!A69,Database!$C$4:$C$599981,Sheet2!$R$4),IF(Sheet2!$D$54="PT CG",SUMIFS(Database!$AA$4:$AA$599981,Database!$D$4:$D$599981,Sheet2!A69,Database!$C$4:$C$599981,Sheet2!$R$4),IF(Sheet2!$D$54="PT ITP",SUMIFS(Database!$AB$4:$AB$599981,Database!$D$4:$D$599981,Sheet2!A69,Database!$C$4:$C$599981,Sheet2!$R$4),IF(Sheet2!$D$54="PT SBI",SUMIFS(Database!$AC$4:$AC$599981,Database!$D$4:$D$599981,Sheet2!$A69,Database!$C$4:$C$599981,Sheet2!$R$4),IF(Sheet2!$D$54="PT SG",SUMIFS(Database!$AD$4:$AD$599981,Database!$D$4:$D$599981,Sheet2!A69,Database!$C$4:$C$599981,Sheet2!$R$4),IF(Sheet2!$D$54="PT CCI",SUMIFS(Database!$AE$4:$AE$599981,Database!$D$4:$D$599981,Sheet2!A69,Database!$C$4:$C$599981,Sheet2!$R$4),IF(Sheet2!$D$54="PT ST",SUMIFS(Database!$AF$4:$AF$599981,Database!$D$4:$D$599981,Sheet2!A69,Database!$C$4:$C$599981,Sheet2!$R$4),IF(Sheet2!$D$54="PT SBM",SUMIFS(Database!$AG$4:$AG$599981,Database!$D$4:$D$599981,Sheet2!A69,Database!$C$4:$C$599981,Sheet2!$R$4),SUMIFS(Database!$AH$4:$AH$599981,Database!$D$4:$D$599981,Sheet2!A69,Database!$C$4:$C$599981,Sheet2!$R$4)))))))))))</f>
        <v>0</v>
      </c>
    </row>
    <row r="70" spans="1:4" x14ac:dyDescent="0.35">
      <c r="A70" t="s">
        <v>60</v>
      </c>
      <c r="D70">
        <f>IF($R$4="Nasional",IF($D$54="PT SP",SUMIFS(Database!$Y$4:$Y$599981,Database!$D$4:$D$599981,Sheet2!A70),IF($D$54="PT SB",SUMIFS(Database!$Z$4:$Z$599981,Database!$D$4:$D$599981,Sheet2!A70),IF(Sheet2!$D$54="PT CG",SUMIFS(Database!$AA$4:$AA$599981,Database!$D$4:$D$599981,Sheet2!A70),IF(Sheet2!$D$54="PT ITP",SUMIFS(Database!$AB$4:$AB$599981,Database!$D$4:$D$599981,Sheet2!A70),IF(Sheet2!$D$54="PT SBI",SUMIFS(Database!$AC$4:$AC$599981,Database!$D$4:$D$599981,Sheet2!$A70),IF(Sheet2!$D$54="PT SG",SUMIFS(Database!$AD$4:$AD$599981,Database!$D$4:$D$599981,Sheet2!A70),IF(Sheet2!$D$54="PT CCI",SUMIFS(Database!$AE$4:$AE$599981,Database!$D$4:$D$599981,Sheet2!A70),IF(Sheet2!$D$54="PT ST",SUMIFS(Database!$AF$4:$AF$599981,Database!$D$4:$D$599981,Sheet2!A70),IF(Sheet2!$D$54="PT SBM",SUMIFS(Database!$AG$4:$AG$599981,Database!$D$4:$D$599981,Sheet2!A70),SUMIFS(Database!$AH$4:$AH$599981,Database!$D$4:$D$599981,Sheet2!A70)))))))))),IF($D$54="PT SP",SUMIFS(Database!$Y$4:$Y$599981,Database!$D$4:$D$599981,Sheet2!A70,Database!$C$4:$C$599981,Sheet2!$R$4),IF($D$54="PT SB",SUMIFS(Database!$Z$4:$Z$599981,Database!$D$4:$D$599981,Sheet2!A70,Database!$C$4:$C$599981,Sheet2!$R$4),IF(Sheet2!$D$54="PT CG",SUMIFS(Database!$AA$4:$AA$599981,Database!$D$4:$D$599981,Sheet2!A70,Database!$C$4:$C$599981,Sheet2!$R$4),IF(Sheet2!$D$54="PT ITP",SUMIFS(Database!$AB$4:$AB$599981,Database!$D$4:$D$599981,Sheet2!A70,Database!$C$4:$C$599981,Sheet2!$R$4),IF(Sheet2!$D$54="PT SBI",SUMIFS(Database!$AC$4:$AC$599981,Database!$D$4:$D$599981,Sheet2!$A70,Database!$C$4:$C$599981,Sheet2!$R$4),IF(Sheet2!$D$54="PT SG",SUMIFS(Database!$AD$4:$AD$599981,Database!$D$4:$D$599981,Sheet2!A70,Database!$C$4:$C$599981,Sheet2!$R$4),IF(Sheet2!$D$54="PT CCI",SUMIFS(Database!$AE$4:$AE$599981,Database!$D$4:$D$599981,Sheet2!A70,Database!$C$4:$C$599981,Sheet2!$R$4),IF(Sheet2!$D$54="PT ST",SUMIFS(Database!$AF$4:$AF$599981,Database!$D$4:$D$599981,Sheet2!A70,Database!$C$4:$C$599981,Sheet2!$R$4),IF(Sheet2!$D$54="PT SBM",SUMIFS(Database!$AG$4:$AG$599981,Database!$D$4:$D$599981,Sheet2!A70,Database!$C$4:$C$599981,Sheet2!$R$4),SUMIFS(Database!$AH$4:$AH$599981,Database!$D$4:$D$599981,Sheet2!A70,Database!$C$4:$C$599981,Sheet2!$R$4)))))))))))</f>
        <v>0</v>
      </c>
    </row>
    <row r="71" spans="1:4" x14ac:dyDescent="0.35">
      <c r="A71" t="s">
        <v>61</v>
      </c>
      <c r="D71">
        <f>IF($R$4="Nasional",IF($D$54="PT SP",SUMIFS(Database!$Y$4:$Y$599981,Database!$D$4:$D$599981,Sheet2!A71),IF($D$54="PT SB",SUMIFS(Database!$Z$4:$Z$599981,Database!$D$4:$D$599981,Sheet2!A71),IF(Sheet2!$D$54="PT CG",SUMIFS(Database!$AA$4:$AA$599981,Database!$D$4:$D$599981,Sheet2!A71),IF(Sheet2!$D$54="PT ITP",SUMIFS(Database!$AB$4:$AB$599981,Database!$D$4:$D$599981,Sheet2!A71),IF(Sheet2!$D$54="PT SBI",SUMIFS(Database!$AC$4:$AC$599981,Database!$D$4:$D$599981,Sheet2!$A71),IF(Sheet2!$D$54="PT SG",SUMIFS(Database!$AD$4:$AD$599981,Database!$D$4:$D$599981,Sheet2!A71),IF(Sheet2!$D$54="PT CCI",SUMIFS(Database!$AE$4:$AE$599981,Database!$D$4:$D$599981,Sheet2!A71),IF(Sheet2!$D$54="PT ST",SUMIFS(Database!$AF$4:$AF$599981,Database!$D$4:$D$599981,Sheet2!A71),IF(Sheet2!$D$54="PT SBM",SUMIFS(Database!$AG$4:$AG$599981,Database!$D$4:$D$599981,Sheet2!A71),SUMIFS(Database!$AH$4:$AH$599981,Database!$D$4:$D$599981,Sheet2!A71)))))))))),IF($D$54="PT SP",SUMIFS(Database!$Y$4:$Y$599981,Database!$D$4:$D$599981,Sheet2!A71,Database!$C$4:$C$599981,Sheet2!$R$4),IF($D$54="PT SB",SUMIFS(Database!$Z$4:$Z$599981,Database!$D$4:$D$599981,Sheet2!A71,Database!$C$4:$C$599981,Sheet2!$R$4),IF(Sheet2!$D$54="PT CG",SUMIFS(Database!$AA$4:$AA$599981,Database!$D$4:$D$599981,Sheet2!A71,Database!$C$4:$C$599981,Sheet2!$R$4),IF(Sheet2!$D$54="PT ITP",SUMIFS(Database!$AB$4:$AB$599981,Database!$D$4:$D$599981,Sheet2!A71,Database!$C$4:$C$599981,Sheet2!$R$4),IF(Sheet2!$D$54="PT SBI",SUMIFS(Database!$AC$4:$AC$599981,Database!$D$4:$D$599981,Sheet2!$A71,Database!$C$4:$C$599981,Sheet2!$R$4),IF(Sheet2!$D$54="PT SG",SUMIFS(Database!$AD$4:$AD$599981,Database!$D$4:$D$599981,Sheet2!A71,Database!$C$4:$C$599981,Sheet2!$R$4),IF(Sheet2!$D$54="PT CCI",SUMIFS(Database!$AE$4:$AE$599981,Database!$D$4:$D$599981,Sheet2!A71,Database!$C$4:$C$599981,Sheet2!$R$4),IF(Sheet2!$D$54="PT ST",SUMIFS(Database!$AF$4:$AF$599981,Database!$D$4:$D$599981,Sheet2!A71,Database!$C$4:$C$599981,Sheet2!$R$4),IF(Sheet2!$D$54="PT SBM",SUMIFS(Database!$AG$4:$AG$599981,Database!$D$4:$D$599981,Sheet2!A71,Database!$C$4:$C$599981,Sheet2!$R$4),SUMIFS(Database!$AH$4:$AH$599981,Database!$D$4:$D$599981,Sheet2!A71,Database!$C$4:$C$599981,Sheet2!$R$4)))))))))))</f>
        <v>0</v>
      </c>
    </row>
    <row r="72" spans="1:4" x14ac:dyDescent="0.35">
      <c r="A72" t="s">
        <v>62</v>
      </c>
      <c r="D72">
        <f>IF($R$4="Nasional",IF($D$54="PT SP",SUMIFS(Database!$Y$4:$Y$599981,Database!$D$4:$D$599981,Sheet2!A72),IF($D$54="PT SB",SUMIFS(Database!$Z$4:$Z$599981,Database!$D$4:$D$599981,Sheet2!A72),IF(Sheet2!$D$54="PT CG",SUMIFS(Database!$AA$4:$AA$599981,Database!$D$4:$D$599981,Sheet2!A72),IF(Sheet2!$D$54="PT ITP",SUMIFS(Database!$AB$4:$AB$599981,Database!$D$4:$D$599981,Sheet2!A72),IF(Sheet2!$D$54="PT SBI",SUMIFS(Database!$AC$4:$AC$599981,Database!$D$4:$D$599981,Sheet2!$A72),IF(Sheet2!$D$54="PT SG",SUMIFS(Database!$AD$4:$AD$599981,Database!$D$4:$D$599981,Sheet2!A72),IF(Sheet2!$D$54="PT CCI",SUMIFS(Database!$AE$4:$AE$599981,Database!$D$4:$D$599981,Sheet2!A72),IF(Sheet2!$D$54="PT ST",SUMIFS(Database!$AF$4:$AF$599981,Database!$D$4:$D$599981,Sheet2!A72),IF(Sheet2!$D$54="PT SBM",SUMIFS(Database!$AG$4:$AG$599981,Database!$D$4:$D$599981,Sheet2!A72),SUMIFS(Database!$AH$4:$AH$599981,Database!$D$4:$D$599981,Sheet2!A72)))))))))),IF($D$54="PT SP",SUMIFS(Database!$Y$4:$Y$599981,Database!$D$4:$D$599981,Sheet2!A72,Database!$C$4:$C$599981,Sheet2!$R$4),IF($D$54="PT SB",SUMIFS(Database!$Z$4:$Z$599981,Database!$D$4:$D$599981,Sheet2!A72,Database!$C$4:$C$599981,Sheet2!$R$4),IF(Sheet2!$D$54="PT CG",SUMIFS(Database!$AA$4:$AA$599981,Database!$D$4:$D$599981,Sheet2!A72,Database!$C$4:$C$599981,Sheet2!$R$4),IF(Sheet2!$D$54="PT ITP",SUMIFS(Database!$AB$4:$AB$599981,Database!$D$4:$D$599981,Sheet2!A72,Database!$C$4:$C$599981,Sheet2!$R$4),IF(Sheet2!$D$54="PT SBI",SUMIFS(Database!$AC$4:$AC$599981,Database!$D$4:$D$599981,Sheet2!$A72,Database!$C$4:$C$599981,Sheet2!$R$4),IF(Sheet2!$D$54="PT SG",SUMIFS(Database!$AD$4:$AD$599981,Database!$D$4:$D$599981,Sheet2!A72,Database!$C$4:$C$599981,Sheet2!$R$4),IF(Sheet2!$D$54="PT CCI",SUMIFS(Database!$AE$4:$AE$599981,Database!$D$4:$D$599981,Sheet2!A72,Database!$C$4:$C$599981,Sheet2!$R$4),IF(Sheet2!$D$54="PT ST",SUMIFS(Database!$AF$4:$AF$599981,Database!$D$4:$D$599981,Sheet2!A72,Database!$C$4:$C$599981,Sheet2!$R$4),IF(Sheet2!$D$54="PT SBM",SUMIFS(Database!$AG$4:$AG$599981,Database!$D$4:$D$599981,Sheet2!A72,Database!$C$4:$C$599981,Sheet2!$R$4),SUMIFS(Database!$AH$4:$AH$599981,Database!$D$4:$D$599981,Sheet2!A72,Database!$C$4:$C$599981,Sheet2!$R$4)))))))))))</f>
        <v>0</v>
      </c>
    </row>
    <row r="73" spans="1:4" x14ac:dyDescent="0.35">
      <c r="A73" t="s">
        <v>63</v>
      </c>
      <c r="D73">
        <f>IF($R$4="Nasional",IF($D$54="PT SP",SUMIFS(Database!$Y$4:$Y$599981,Database!$D$4:$D$599981,Sheet2!A73),IF($D$54="PT SB",SUMIFS(Database!$Z$4:$Z$599981,Database!$D$4:$D$599981,Sheet2!A73),IF(Sheet2!$D$54="PT CG",SUMIFS(Database!$AA$4:$AA$599981,Database!$D$4:$D$599981,Sheet2!A73),IF(Sheet2!$D$54="PT ITP",SUMIFS(Database!$AB$4:$AB$599981,Database!$D$4:$D$599981,Sheet2!A73),IF(Sheet2!$D$54="PT SBI",SUMIFS(Database!$AC$4:$AC$599981,Database!$D$4:$D$599981,Sheet2!$A73),IF(Sheet2!$D$54="PT SG",SUMIFS(Database!$AD$4:$AD$599981,Database!$D$4:$D$599981,Sheet2!A73),IF(Sheet2!$D$54="PT CCI",SUMIFS(Database!$AE$4:$AE$599981,Database!$D$4:$D$599981,Sheet2!A73),IF(Sheet2!$D$54="PT ST",SUMIFS(Database!$AF$4:$AF$599981,Database!$D$4:$D$599981,Sheet2!A73),IF(Sheet2!$D$54="PT SBM",SUMIFS(Database!$AG$4:$AG$599981,Database!$D$4:$D$599981,Sheet2!A73),SUMIFS(Database!$AH$4:$AH$599981,Database!$D$4:$D$599981,Sheet2!A73)))))))))),IF($D$54="PT SP",SUMIFS(Database!$Y$4:$Y$599981,Database!$D$4:$D$599981,Sheet2!A73,Database!$C$4:$C$599981,Sheet2!$R$4),IF($D$54="PT SB",SUMIFS(Database!$Z$4:$Z$599981,Database!$D$4:$D$599981,Sheet2!A73,Database!$C$4:$C$599981,Sheet2!$R$4),IF(Sheet2!$D$54="PT CG",SUMIFS(Database!$AA$4:$AA$599981,Database!$D$4:$D$599981,Sheet2!A73,Database!$C$4:$C$599981,Sheet2!$R$4),IF(Sheet2!$D$54="PT ITP",SUMIFS(Database!$AB$4:$AB$599981,Database!$D$4:$D$599981,Sheet2!A73,Database!$C$4:$C$599981,Sheet2!$R$4),IF(Sheet2!$D$54="PT SBI",SUMIFS(Database!$AC$4:$AC$599981,Database!$D$4:$D$599981,Sheet2!$A73,Database!$C$4:$C$599981,Sheet2!$R$4),IF(Sheet2!$D$54="PT SG",SUMIFS(Database!$AD$4:$AD$599981,Database!$D$4:$D$599981,Sheet2!A73,Database!$C$4:$C$599981,Sheet2!$R$4),IF(Sheet2!$D$54="PT CCI",SUMIFS(Database!$AE$4:$AE$599981,Database!$D$4:$D$599981,Sheet2!A73,Database!$C$4:$C$599981,Sheet2!$R$4),IF(Sheet2!$D$54="PT ST",SUMIFS(Database!$AF$4:$AF$599981,Database!$D$4:$D$599981,Sheet2!A73,Database!$C$4:$C$599981,Sheet2!$R$4),IF(Sheet2!$D$54="PT SBM",SUMIFS(Database!$AG$4:$AG$599981,Database!$D$4:$D$599981,Sheet2!A73,Database!$C$4:$C$599981,Sheet2!$R$4),SUMIFS(Database!$AH$4:$AH$599981,Database!$D$4:$D$599981,Sheet2!A73,Database!$C$4:$C$599981,Sheet2!$R$4)))))))))))</f>
        <v>0</v>
      </c>
    </row>
    <row r="74" spans="1:4" x14ac:dyDescent="0.35">
      <c r="A74" t="s">
        <v>64</v>
      </c>
      <c r="D74">
        <f>IF($R$4="Nasional",IF($D$54="PT SP",SUMIFS(Database!$Y$4:$Y$599981,Database!$D$4:$D$599981,Sheet2!A74),IF($D$54="PT SB",SUMIFS(Database!$Z$4:$Z$599981,Database!$D$4:$D$599981,Sheet2!A74),IF(Sheet2!$D$54="PT CG",SUMIFS(Database!$AA$4:$AA$599981,Database!$D$4:$D$599981,Sheet2!A74),IF(Sheet2!$D$54="PT ITP",SUMIFS(Database!$AB$4:$AB$599981,Database!$D$4:$D$599981,Sheet2!A74),IF(Sheet2!$D$54="PT SBI",SUMIFS(Database!$AC$4:$AC$599981,Database!$D$4:$D$599981,Sheet2!$A74),IF(Sheet2!$D$54="PT SG",SUMIFS(Database!$AD$4:$AD$599981,Database!$D$4:$D$599981,Sheet2!A74),IF(Sheet2!$D$54="PT CCI",SUMIFS(Database!$AE$4:$AE$599981,Database!$D$4:$D$599981,Sheet2!A74),IF(Sheet2!$D$54="PT ST",SUMIFS(Database!$AF$4:$AF$599981,Database!$D$4:$D$599981,Sheet2!A74),IF(Sheet2!$D$54="PT SBM",SUMIFS(Database!$AG$4:$AG$599981,Database!$D$4:$D$599981,Sheet2!A74),SUMIFS(Database!$AH$4:$AH$599981,Database!$D$4:$D$599981,Sheet2!A74)))))))))),IF($D$54="PT SP",SUMIFS(Database!$Y$4:$Y$599981,Database!$D$4:$D$599981,Sheet2!A74,Database!$C$4:$C$599981,Sheet2!$R$4),IF($D$54="PT SB",SUMIFS(Database!$Z$4:$Z$599981,Database!$D$4:$D$599981,Sheet2!A74,Database!$C$4:$C$599981,Sheet2!$R$4),IF(Sheet2!$D$54="PT CG",SUMIFS(Database!$AA$4:$AA$599981,Database!$D$4:$D$599981,Sheet2!A74,Database!$C$4:$C$599981,Sheet2!$R$4),IF(Sheet2!$D$54="PT ITP",SUMIFS(Database!$AB$4:$AB$599981,Database!$D$4:$D$599981,Sheet2!A74,Database!$C$4:$C$599981,Sheet2!$R$4),IF(Sheet2!$D$54="PT SBI",SUMIFS(Database!$AC$4:$AC$599981,Database!$D$4:$D$599981,Sheet2!$A74,Database!$C$4:$C$599981,Sheet2!$R$4),IF(Sheet2!$D$54="PT SG",SUMIFS(Database!$AD$4:$AD$599981,Database!$D$4:$D$599981,Sheet2!A74,Database!$C$4:$C$599981,Sheet2!$R$4),IF(Sheet2!$D$54="PT CCI",SUMIFS(Database!$AE$4:$AE$599981,Database!$D$4:$D$599981,Sheet2!A74,Database!$C$4:$C$599981,Sheet2!$R$4),IF(Sheet2!$D$54="PT ST",SUMIFS(Database!$AF$4:$AF$599981,Database!$D$4:$D$599981,Sheet2!A74,Database!$C$4:$C$599981,Sheet2!$R$4),IF(Sheet2!$D$54="PT SBM",SUMIFS(Database!$AG$4:$AG$599981,Database!$D$4:$D$599981,Sheet2!A74,Database!$C$4:$C$599981,Sheet2!$R$4),SUMIFS(Database!$AH$4:$AH$599981,Database!$D$4:$D$599981,Sheet2!A74,Database!$C$4:$C$599981,Sheet2!$R$4)))))))))))</f>
        <v>0</v>
      </c>
    </row>
    <row r="75" spans="1:4" x14ac:dyDescent="0.35">
      <c r="A75" t="s">
        <v>66</v>
      </c>
      <c r="D75">
        <f>IF($R$4="Nasional",IF($D$54="PT SP",SUMIFS(Database!$Y$4:$Y$599981,Database!$D$4:$D$599981,Sheet2!A75),IF($D$54="PT SB",SUMIFS(Database!$Z$4:$Z$599981,Database!$D$4:$D$599981,Sheet2!A75),IF(Sheet2!$D$54="PT CG",SUMIFS(Database!$AA$4:$AA$599981,Database!$D$4:$D$599981,Sheet2!A75),IF(Sheet2!$D$54="PT ITP",SUMIFS(Database!$AB$4:$AB$599981,Database!$D$4:$D$599981,Sheet2!A75),IF(Sheet2!$D$54="PT SBI",SUMIFS(Database!$AC$4:$AC$599981,Database!$D$4:$D$599981,Sheet2!$A75),IF(Sheet2!$D$54="PT SG",SUMIFS(Database!$AD$4:$AD$599981,Database!$D$4:$D$599981,Sheet2!A75),IF(Sheet2!$D$54="PT CCI",SUMIFS(Database!$AE$4:$AE$599981,Database!$D$4:$D$599981,Sheet2!A75),IF(Sheet2!$D$54="PT ST",SUMIFS(Database!$AF$4:$AF$599981,Database!$D$4:$D$599981,Sheet2!A75),IF(Sheet2!$D$54="PT SBM",SUMIFS(Database!$AG$4:$AG$599981,Database!$D$4:$D$599981,Sheet2!A75),SUMIFS(Database!$AH$4:$AH$599981,Database!$D$4:$D$599981,Sheet2!A75)))))))))),IF($D$54="PT SP",SUMIFS(Database!$Y$4:$Y$599981,Database!$D$4:$D$599981,Sheet2!A75,Database!$C$4:$C$599981,Sheet2!$R$4),IF($D$54="PT SB",SUMIFS(Database!$Z$4:$Z$599981,Database!$D$4:$D$599981,Sheet2!A75,Database!$C$4:$C$599981,Sheet2!$R$4),IF(Sheet2!$D$54="PT CG",SUMIFS(Database!$AA$4:$AA$599981,Database!$D$4:$D$599981,Sheet2!A75,Database!$C$4:$C$599981,Sheet2!$R$4),IF(Sheet2!$D$54="PT ITP",SUMIFS(Database!$AB$4:$AB$599981,Database!$D$4:$D$599981,Sheet2!A75,Database!$C$4:$C$599981,Sheet2!$R$4),IF(Sheet2!$D$54="PT SBI",SUMIFS(Database!$AC$4:$AC$599981,Database!$D$4:$D$599981,Sheet2!$A75,Database!$C$4:$C$599981,Sheet2!$R$4),IF(Sheet2!$D$54="PT SG",SUMIFS(Database!$AD$4:$AD$599981,Database!$D$4:$D$599981,Sheet2!A75,Database!$C$4:$C$599981,Sheet2!$R$4),IF(Sheet2!$D$54="PT CCI",SUMIFS(Database!$AE$4:$AE$599981,Database!$D$4:$D$599981,Sheet2!A75,Database!$C$4:$C$599981,Sheet2!$R$4),IF(Sheet2!$D$54="PT ST",SUMIFS(Database!$AF$4:$AF$599981,Database!$D$4:$D$599981,Sheet2!A75,Database!$C$4:$C$599981,Sheet2!$R$4),IF(Sheet2!$D$54="PT SBM",SUMIFS(Database!$AG$4:$AG$599981,Database!$D$4:$D$599981,Sheet2!A75,Database!$C$4:$C$599981,Sheet2!$R$4),SUMIFS(Database!$AH$4:$AH$599981,Database!$D$4:$D$599981,Sheet2!A75,Database!$C$4:$C$599981,Sheet2!$R$4)))))))))))</f>
        <v>0</v>
      </c>
    </row>
    <row r="76" spans="1:4" x14ac:dyDescent="0.35">
      <c r="A76" t="s">
        <v>67</v>
      </c>
      <c r="D76">
        <f>IF($R$4="Nasional",IF($D$54="PT SP",SUMIFS(Database!$Y$4:$Y$599981,Database!$D$4:$D$599981,Sheet2!A76),IF($D$54="PT SB",SUMIFS(Database!$Z$4:$Z$599981,Database!$D$4:$D$599981,Sheet2!A76),IF(Sheet2!$D$54="PT CG",SUMIFS(Database!$AA$4:$AA$599981,Database!$D$4:$D$599981,Sheet2!A76),IF(Sheet2!$D$54="PT ITP",SUMIFS(Database!$AB$4:$AB$599981,Database!$D$4:$D$599981,Sheet2!A76),IF(Sheet2!$D$54="PT SBI",SUMIFS(Database!$AC$4:$AC$599981,Database!$D$4:$D$599981,Sheet2!$A76),IF(Sheet2!$D$54="PT SG",SUMIFS(Database!$AD$4:$AD$599981,Database!$D$4:$D$599981,Sheet2!A76),IF(Sheet2!$D$54="PT CCI",SUMIFS(Database!$AE$4:$AE$599981,Database!$D$4:$D$599981,Sheet2!A76),IF(Sheet2!$D$54="PT ST",SUMIFS(Database!$AF$4:$AF$599981,Database!$D$4:$D$599981,Sheet2!A76),IF(Sheet2!$D$54="PT SBM",SUMIFS(Database!$AG$4:$AG$599981,Database!$D$4:$D$599981,Sheet2!A76),SUMIFS(Database!$AH$4:$AH$599981,Database!$D$4:$D$599981,Sheet2!A76)))))))))),IF($D$54="PT SP",SUMIFS(Database!$Y$4:$Y$599981,Database!$D$4:$D$599981,Sheet2!A76,Database!$C$4:$C$599981,Sheet2!$R$4),IF($D$54="PT SB",SUMIFS(Database!$Z$4:$Z$599981,Database!$D$4:$D$599981,Sheet2!A76,Database!$C$4:$C$599981,Sheet2!$R$4),IF(Sheet2!$D$54="PT CG",SUMIFS(Database!$AA$4:$AA$599981,Database!$D$4:$D$599981,Sheet2!A76,Database!$C$4:$C$599981,Sheet2!$R$4),IF(Sheet2!$D$54="PT ITP",SUMIFS(Database!$AB$4:$AB$599981,Database!$D$4:$D$599981,Sheet2!A76,Database!$C$4:$C$599981,Sheet2!$R$4),IF(Sheet2!$D$54="PT SBI",SUMIFS(Database!$AC$4:$AC$599981,Database!$D$4:$D$599981,Sheet2!$A76,Database!$C$4:$C$599981,Sheet2!$R$4),IF(Sheet2!$D$54="PT SG",SUMIFS(Database!$AD$4:$AD$599981,Database!$D$4:$D$599981,Sheet2!A76,Database!$C$4:$C$599981,Sheet2!$R$4),IF(Sheet2!$D$54="PT CCI",SUMIFS(Database!$AE$4:$AE$599981,Database!$D$4:$D$599981,Sheet2!A76,Database!$C$4:$C$599981,Sheet2!$R$4),IF(Sheet2!$D$54="PT ST",SUMIFS(Database!$AF$4:$AF$599981,Database!$D$4:$D$599981,Sheet2!A76,Database!$C$4:$C$599981,Sheet2!$R$4),IF(Sheet2!$D$54="PT SBM",SUMIFS(Database!$AG$4:$AG$599981,Database!$D$4:$D$599981,Sheet2!A76,Database!$C$4:$C$599981,Sheet2!$R$4),SUMIFS(Database!$AH$4:$AH$599981,Database!$D$4:$D$599981,Sheet2!A76,Database!$C$4:$C$599981,Sheet2!$R$4)))))))))))</f>
        <v>0</v>
      </c>
    </row>
    <row r="77" spans="1:4" x14ac:dyDescent="0.35">
      <c r="A77" t="s">
        <v>68</v>
      </c>
      <c r="D77">
        <f>IF($R$4="Nasional",IF($D$54="PT SP",SUMIFS(Database!$Y$4:$Y$599981,Database!$D$4:$D$599981,Sheet2!A77),IF($D$54="PT SB",SUMIFS(Database!$Z$4:$Z$599981,Database!$D$4:$D$599981,Sheet2!A77),IF(Sheet2!$D$54="PT CG",SUMIFS(Database!$AA$4:$AA$599981,Database!$D$4:$D$599981,Sheet2!A77),IF(Sheet2!$D$54="PT ITP",SUMIFS(Database!$AB$4:$AB$599981,Database!$D$4:$D$599981,Sheet2!A77),IF(Sheet2!$D$54="PT SBI",SUMIFS(Database!$AC$4:$AC$599981,Database!$D$4:$D$599981,Sheet2!$A77),IF(Sheet2!$D$54="PT SG",SUMIFS(Database!$AD$4:$AD$599981,Database!$D$4:$D$599981,Sheet2!A77),IF(Sheet2!$D$54="PT CCI",SUMIFS(Database!$AE$4:$AE$599981,Database!$D$4:$D$599981,Sheet2!A77),IF(Sheet2!$D$54="PT ST",SUMIFS(Database!$AF$4:$AF$599981,Database!$D$4:$D$599981,Sheet2!A77),IF(Sheet2!$D$54="PT SBM",SUMIFS(Database!$AG$4:$AG$599981,Database!$D$4:$D$599981,Sheet2!A77),SUMIFS(Database!$AH$4:$AH$599981,Database!$D$4:$D$599981,Sheet2!A77)))))))))),IF($D$54="PT SP",SUMIFS(Database!$Y$4:$Y$599981,Database!$D$4:$D$599981,Sheet2!A77,Database!$C$4:$C$599981,Sheet2!$R$4),IF($D$54="PT SB",SUMIFS(Database!$Z$4:$Z$599981,Database!$D$4:$D$599981,Sheet2!A77,Database!$C$4:$C$599981,Sheet2!$R$4),IF(Sheet2!$D$54="PT CG",SUMIFS(Database!$AA$4:$AA$599981,Database!$D$4:$D$599981,Sheet2!A77,Database!$C$4:$C$599981,Sheet2!$R$4),IF(Sheet2!$D$54="PT ITP",SUMIFS(Database!$AB$4:$AB$599981,Database!$D$4:$D$599981,Sheet2!A77,Database!$C$4:$C$599981,Sheet2!$R$4),IF(Sheet2!$D$54="PT SBI",SUMIFS(Database!$AC$4:$AC$599981,Database!$D$4:$D$599981,Sheet2!$A77,Database!$C$4:$C$599981,Sheet2!$R$4),IF(Sheet2!$D$54="PT SG",SUMIFS(Database!$AD$4:$AD$599981,Database!$D$4:$D$599981,Sheet2!A77,Database!$C$4:$C$599981,Sheet2!$R$4),IF(Sheet2!$D$54="PT CCI",SUMIFS(Database!$AE$4:$AE$599981,Database!$D$4:$D$599981,Sheet2!A77,Database!$C$4:$C$599981,Sheet2!$R$4),IF(Sheet2!$D$54="PT ST",SUMIFS(Database!$AF$4:$AF$599981,Database!$D$4:$D$599981,Sheet2!A77,Database!$C$4:$C$599981,Sheet2!$R$4),IF(Sheet2!$D$54="PT SBM",SUMIFS(Database!$AG$4:$AG$599981,Database!$D$4:$D$599981,Sheet2!A77,Database!$C$4:$C$599981,Sheet2!$R$4),SUMIFS(Database!$AH$4:$AH$599981,Database!$D$4:$D$599981,Sheet2!A77,Database!$C$4:$C$599981,Sheet2!$R$4)))))))))))</f>
        <v>0</v>
      </c>
    </row>
    <row r="78" spans="1:4" x14ac:dyDescent="0.35">
      <c r="A78" t="s">
        <v>69</v>
      </c>
      <c r="D78">
        <f>IF($R$4="Nasional",IF($D$54="PT SP",SUMIFS(Database!$Y$4:$Y$599981,Database!$D$4:$D$599981,Sheet2!A78),IF($D$54="PT SB",SUMIFS(Database!$Z$4:$Z$599981,Database!$D$4:$D$599981,Sheet2!A78),IF(Sheet2!$D$54="PT CG",SUMIFS(Database!$AA$4:$AA$599981,Database!$D$4:$D$599981,Sheet2!A78),IF(Sheet2!$D$54="PT ITP",SUMIFS(Database!$AB$4:$AB$599981,Database!$D$4:$D$599981,Sheet2!A78),IF(Sheet2!$D$54="PT SBI",SUMIFS(Database!$AC$4:$AC$599981,Database!$D$4:$D$599981,Sheet2!$A78),IF(Sheet2!$D$54="PT SG",SUMIFS(Database!$AD$4:$AD$599981,Database!$D$4:$D$599981,Sheet2!A78),IF(Sheet2!$D$54="PT CCI",SUMIFS(Database!$AE$4:$AE$599981,Database!$D$4:$D$599981,Sheet2!A78),IF(Sheet2!$D$54="PT ST",SUMIFS(Database!$AF$4:$AF$599981,Database!$D$4:$D$599981,Sheet2!A78),IF(Sheet2!$D$54="PT SBM",SUMIFS(Database!$AG$4:$AG$599981,Database!$D$4:$D$599981,Sheet2!A78),SUMIFS(Database!$AH$4:$AH$599981,Database!$D$4:$D$599981,Sheet2!A78)))))))))),IF($D$54="PT SP",SUMIFS(Database!$Y$4:$Y$599981,Database!$D$4:$D$599981,Sheet2!A78,Database!$C$4:$C$599981,Sheet2!$R$4),IF($D$54="PT SB",SUMIFS(Database!$Z$4:$Z$599981,Database!$D$4:$D$599981,Sheet2!A78,Database!$C$4:$C$599981,Sheet2!$R$4),IF(Sheet2!$D$54="PT CG",SUMIFS(Database!$AA$4:$AA$599981,Database!$D$4:$D$599981,Sheet2!A78,Database!$C$4:$C$599981,Sheet2!$R$4),IF(Sheet2!$D$54="PT ITP",SUMIFS(Database!$AB$4:$AB$599981,Database!$D$4:$D$599981,Sheet2!A78,Database!$C$4:$C$599981,Sheet2!$R$4),IF(Sheet2!$D$54="PT SBI",SUMIFS(Database!$AC$4:$AC$599981,Database!$D$4:$D$599981,Sheet2!$A78,Database!$C$4:$C$599981,Sheet2!$R$4),IF(Sheet2!$D$54="PT SG",SUMIFS(Database!$AD$4:$AD$599981,Database!$D$4:$D$599981,Sheet2!A78,Database!$C$4:$C$599981,Sheet2!$R$4),IF(Sheet2!$D$54="PT CCI",SUMIFS(Database!$AE$4:$AE$599981,Database!$D$4:$D$599981,Sheet2!A78,Database!$C$4:$C$599981,Sheet2!$R$4),IF(Sheet2!$D$54="PT ST",SUMIFS(Database!$AF$4:$AF$599981,Database!$D$4:$D$599981,Sheet2!A78,Database!$C$4:$C$599981,Sheet2!$R$4),IF(Sheet2!$D$54="PT SBM",SUMIFS(Database!$AG$4:$AG$599981,Database!$D$4:$D$599981,Sheet2!A78,Database!$C$4:$C$599981,Sheet2!$R$4),SUMIFS(Database!$AH$4:$AH$599981,Database!$D$4:$D$599981,Sheet2!A78,Database!$C$4:$C$599981,Sheet2!$R$4)))))))))))</f>
        <v>47136</v>
      </c>
    </row>
    <row r="79" spans="1:4" x14ac:dyDescent="0.35">
      <c r="A79" t="s">
        <v>70</v>
      </c>
      <c r="D79">
        <f>IF($R$4="Nasional",IF($D$54="PT SP",SUMIFS(Database!$Y$4:$Y$599981,Database!$D$4:$D$599981,Sheet2!A79),IF($D$54="PT SB",SUMIFS(Database!$Z$4:$Z$599981,Database!$D$4:$D$599981,Sheet2!A79),IF(Sheet2!$D$54="PT CG",SUMIFS(Database!$AA$4:$AA$599981,Database!$D$4:$D$599981,Sheet2!A79),IF(Sheet2!$D$54="PT ITP",SUMIFS(Database!$AB$4:$AB$599981,Database!$D$4:$D$599981,Sheet2!A79),IF(Sheet2!$D$54="PT SBI",SUMIFS(Database!$AC$4:$AC$599981,Database!$D$4:$D$599981,Sheet2!$A79),IF(Sheet2!$D$54="PT SG",SUMIFS(Database!$AD$4:$AD$599981,Database!$D$4:$D$599981,Sheet2!A79),IF(Sheet2!$D$54="PT CCI",SUMIFS(Database!$AE$4:$AE$599981,Database!$D$4:$D$599981,Sheet2!A79),IF(Sheet2!$D$54="PT ST",SUMIFS(Database!$AF$4:$AF$599981,Database!$D$4:$D$599981,Sheet2!A79),IF(Sheet2!$D$54="PT SBM",SUMIFS(Database!$AG$4:$AG$599981,Database!$D$4:$D$599981,Sheet2!A79),SUMIFS(Database!$AH$4:$AH$599981,Database!$D$4:$D$599981,Sheet2!A79)))))))))),IF($D$54="PT SP",SUMIFS(Database!$Y$4:$Y$599981,Database!$D$4:$D$599981,Sheet2!A79,Database!$C$4:$C$599981,Sheet2!$R$4),IF($D$54="PT SB",SUMIFS(Database!$Z$4:$Z$599981,Database!$D$4:$D$599981,Sheet2!A79,Database!$C$4:$C$599981,Sheet2!$R$4),IF(Sheet2!$D$54="PT CG",SUMIFS(Database!$AA$4:$AA$599981,Database!$D$4:$D$599981,Sheet2!A79,Database!$C$4:$C$599981,Sheet2!$R$4),IF(Sheet2!$D$54="PT ITP",SUMIFS(Database!$AB$4:$AB$599981,Database!$D$4:$D$599981,Sheet2!A79,Database!$C$4:$C$599981,Sheet2!$R$4),IF(Sheet2!$D$54="PT SBI",SUMIFS(Database!$AC$4:$AC$599981,Database!$D$4:$D$599981,Sheet2!$A79,Database!$C$4:$C$599981,Sheet2!$R$4),IF(Sheet2!$D$54="PT SG",SUMIFS(Database!$AD$4:$AD$599981,Database!$D$4:$D$599981,Sheet2!A79,Database!$C$4:$C$599981,Sheet2!$R$4),IF(Sheet2!$D$54="PT CCI",SUMIFS(Database!$AE$4:$AE$599981,Database!$D$4:$D$599981,Sheet2!A79,Database!$C$4:$C$599981,Sheet2!$R$4),IF(Sheet2!$D$54="PT ST",SUMIFS(Database!$AF$4:$AF$599981,Database!$D$4:$D$599981,Sheet2!A79,Database!$C$4:$C$599981,Sheet2!$R$4),IF(Sheet2!$D$54="PT SBM",SUMIFS(Database!$AG$4:$AG$599981,Database!$D$4:$D$599981,Sheet2!A79,Database!$C$4:$C$599981,Sheet2!$R$4),SUMIFS(Database!$AH$4:$AH$599981,Database!$D$4:$D$599981,Sheet2!A79,Database!$C$4:$C$599981,Sheet2!$R$4)))))))))))</f>
        <v>0</v>
      </c>
    </row>
    <row r="80" spans="1:4" x14ac:dyDescent="0.35">
      <c r="A80" t="s">
        <v>71</v>
      </c>
      <c r="D80">
        <f>IF($R$4="Nasional",IF($D$54="PT SP",SUMIFS(Database!$Y$4:$Y$599981,Database!$D$4:$D$599981,Sheet2!A80),IF($D$54="PT SB",SUMIFS(Database!$Z$4:$Z$599981,Database!$D$4:$D$599981,Sheet2!A80),IF(Sheet2!$D$54="PT CG",SUMIFS(Database!$AA$4:$AA$599981,Database!$D$4:$D$599981,Sheet2!A80),IF(Sheet2!$D$54="PT ITP",SUMIFS(Database!$AB$4:$AB$599981,Database!$D$4:$D$599981,Sheet2!A80),IF(Sheet2!$D$54="PT SBI",SUMIFS(Database!$AC$4:$AC$599981,Database!$D$4:$D$599981,Sheet2!$A80),IF(Sheet2!$D$54="PT SG",SUMIFS(Database!$AD$4:$AD$599981,Database!$D$4:$D$599981,Sheet2!A80),IF(Sheet2!$D$54="PT CCI",SUMIFS(Database!$AE$4:$AE$599981,Database!$D$4:$D$599981,Sheet2!A80),IF(Sheet2!$D$54="PT ST",SUMIFS(Database!$AF$4:$AF$599981,Database!$D$4:$D$599981,Sheet2!A80),IF(Sheet2!$D$54="PT SBM",SUMIFS(Database!$AG$4:$AG$599981,Database!$D$4:$D$599981,Sheet2!A80),SUMIFS(Database!$AH$4:$AH$599981,Database!$D$4:$D$599981,Sheet2!A80)))))))))),IF($D$54="PT SP",SUMIFS(Database!$Y$4:$Y$599981,Database!$D$4:$D$599981,Sheet2!A80,Database!$C$4:$C$599981,Sheet2!$R$4),IF($D$54="PT SB",SUMIFS(Database!$Z$4:$Z$599981,Database!$D$4:$D$599981,Sheet2!A80,Database!$C$4:$C$599981,Sheet2!$R$4),IF(Sheet2!$D$54="PT CG",SUMIFS(Database!$AA$4:$AA$599981,Database!$D$4:$D$599981,Sheet2!A80,Database!$C$4:$C$599981,Sheet2!$R$4),IF(Sheet2!$D$54="PT ITP",SUMIFS(Database!$AB$4:$AB$599981,Database!$D$4:$D$599981,Sheet2!A80,Database!$C$4:$C$599981,Sheet2!$R$4),IF(Sheet2!$D$54="PT SBI",SUMIFS(Database!$AC$4:$AC$599981,Database!$D$4:$D$599981,Sheet2!$A80,Database!$C$4:$C$599981,Sheet2!$R$4),IF(Sheet2!$D$54="PT SG",SUMIFS(Database!$AD$4:$AD$599981,Database!$D$4:$D$599981,Sheet2!A80,Database!$C$4:$C$599981,Sheet2!$R$4),IF(Sheet2!$D$54="PT CCI",SUMIFS(Database!$AE$4:$AE$599981,Database!$D$4:$D$599981,Sheet2!A80,Database!$C$4:$C$599981,Sheet2!$R$4),IF(Sheet2!$D$54="PT ST",SUMIFS(Database!$AF$4:$AF$599981,Database!$D$4:$D$599981,Sheet2!A80,Database!$C$4:$C$599981,Sheet2!$R$4),IF(Sheet2!$D$54="PT SBM",SUMIFS(Database!$AG$4:$AG$599981,Database!$D$4:$D$599981,Sheet2!A80,Database!$C$4:$C$599981,Sheet2!$R$4),SUMIFS(Database!$AH$4:$AH$599981,Database!$D$4:$D$599981,Sheet2!A80,Database!$C$4:$C$599981,Sheet2!$R$4)))))))))))</f>
        <v>0</v>
      </c>
    </row>
    <row r="81" spans="1:4" x14ac:dyDescent="0.35">
      <c r="A81" t="s">
        <v>72</v>
      </c>
      <c r="D81">
        <f>IF($R$4="Nasional",IF($D$54="PT SP",SUMIFS(Database!$Y$4:$Y$599981,Database!$D$4:$D$599981,Sheet2!A81),IF($D$54="PT SB",SUMIFS(Database!$Z$4:$Z$599981,Database!$D$4:$D$599981,Sheet2!A81),IF(Sheet2!$D$54="PT CG",SUMIFS(Database!$AA$4:$AA$599981,Database!$D$4:$D$599981,Sheet2!A81),IF(Sheet2!$D$54="PT ITP",SUMIFS(Database!$AB$4:$AB$599981,Database!$D$4:$D$599981,Sheet2!A81),IF(Sheet2!$D$54="PT SBI",SUMIFS(Database!$AC$4:$AC$599981,Database!$D$4:$D$599981,Sheet2!$A81),IF(Sheet2!$D$54="PT SG",SUMIFS(Database!$AD$4:$AD$599981,Database!$D$4:$D$599981,Sheet2!A81),IF(Sheet2!$D$54="PT CCI",SUMIFS(Database!$AE$4:$AE$599981,Database!$D$4:$D$599981,Sheet2!A81),IF(Sheet2!$D$54="PT ST",SUMIFS(Database!$AF$4:$AF$599981,Database!$D$4:$D$599981,Sheet2!A81),IF(Sheet2!$D$54="PT SBM",SUMIFS(Database!$AG$4:$AG$599981,Database!$D$4:$D$599981,Sheet2!A81),SUMIFS(Database!$AH$4:$AH$599981,Database!$D$4:$D$599981,Sheet2!A81)))))))))),IF($D$54="PT SP",SUMIFS(Database!$Y$4:$Y$599981,Database!$D$4:$D$599981,Sheet2!A81,Database!$C$4:$C$599981,Sheet2!$R$4),IF($D$54="PT SB",SUMIFS(Database!$Z$4:$Z$599981,Database!$D$4:$D$599981,Sheet2!A81,Database!$C$4:$C$599981,Sheet2!$R$4),IF(Sheet2!$D$54="PT CG",SUMIFS(Database!$AA$4:$AA$599981,Database!$D$4:$D$599981,Sheet2!A81,Database!$C$4:$C$599981,Sheet2!$R$4),IF(Sheet2!$D$54="PT ITP",SUMIFS(Database!$AB$4:$AB$599981,Database!$D$4:$D$599981,Sheet2!A81,Database!$C$4:$C$599981,Sheet2!$R$4),IF(Sheet2!$D$54="PT SBI",SUMIFS(Database!$AC$4:$AC$599981,Database!$D$4:$D$599981,Sheet2!$A81,Database!$C$4:$C$599981,Sheet2!$R$4),IF(Sheet2!$D$54="PT SG",SUMIFS(Database!$AD$4:$AD$599981,Database!$D$4:$D$599981,Sheet2!A81,Database!$C$4:$C$599981,Sheet2!$R$4),IF(Sheet2!$D$54="PT CCI",SUMIFS(Database!$AE$4:$AE$599981,Database!$D$4:$D$599981,Sheet2!A81,Database!$C$4:$C$599981,Sheet2!$R$4),IF(Sheet2!$D$54="PT ST",SUMIFS(Database!$AF$4:$AF$599981,Database!$D$4:$D$599981,Sheet2!A81,Database!$C$4:$C$599981,Sheet2!$R$4),IF(Sheet2!$D$54="PT SBM",SUMIFS(Database!$AG$4:$AG$599981,Database!$D$4:$D$599981,Sheet2!A81,Database!$C$4:$C$599981,Sheet2!$R$4),SUMIFS(Database!$AH$4:$AH$599981,Database!$D$4:$D$599981,Sheet2!A81,Database!$C$4:$C$599981,Sheet2!$R$4)))))))))))</f>
        <v>0</v>
      </c>
    </row>
    <row r="82" spans="1:4" x14ac:dyDescent="0.35">
      <c r="A82" t="s">
        <v>73</v>
      </c>
      <c r="D82">
        <f>IF($R$4="Nasional",IF($D$54="PT SP",SUMIFS(Database!$Y$4:$Y$599981,Database!$D$4:$D$599981,Sheet2!A82),IF($D$54="PT SB",SUMIFS(Database!$Z$4:$Z$599981,Database!$D$4:$D$599981,Sheet2!A82),IF(Sheet2!$D$54="PT CG",SUMIFS(Database!$AA$4:$AA$599981,Database!$D$4:$D$599981,Sheet2!A82),IF(Sheet2!$D$54="PT ITP",SUMIFS(Database!$AB$4:$AB$599981,Database!$D$4:$D$599981,Sheet2!A82),IF(Sheet2!$D$54="PT SBI",SUMIFS(Database!$AC$4:$AC$599981,Database!$D$4:$D$599981,Sheet2!$A82),IF(Sheet2!$D$54="PT SG",SUMIFS(Database!$AD$4:$AD$599981,Database!$D$4:$D$599981,Sheet2!A82),IF(Sheet2!$D$54="PT CCI",SUMIFS(Database!$AE$4:$AE$599981,Database!$D$4:$D$599981,Sheet2!A82),IF(Sheet2!$D$54="PT ST",SUMIFS(Database!$AF$4:$AF$599981,Database!$D$4:$D$599981,Sheet2!A82),IF(Sheet2!$D$54="PT SBM",SUMIFS(Database!$AG$4:$AG$599981,Database!$D$4:$D$599981,Sheet2!A82),SUMIFS(Database!$AH$4:$AH$599981,Database!$D$4:$D$599981,Sheet2!A82)))))))))),IF($D$54="PT SP",SUMIFS(Database!$Y$4:$Y$599981,Database!$D$4:$D$599981,Sheet2!A82,Database!$C$4:$C$599981,Sheet2!$R$4),IF($D$54="PT SB",SUMIFS(Database!$Z$4:$Z$599981,Database!$D$4:$D$599981,Sheet2!A82,Database!$C$4:$C$599981,Sheet2!$R$4),IF(Sheet2!$D$54="PT CG",SUMIFS(Database!$AA$4:$AA$599981,Database!$D$4:$D$599981,Sheet2!A82,Database!$C$4:$C$599981,Sheet2!$R$4),IF(Sheet2!$D$54="PT ITP",SUMIFS(Database!$AB$4:$AB$599981,Database!$D$4:$D$599981,Sheet2!A82,Database!$C$4:$C$599981,Sheet2!$R$4),IF(Sheet2!$D$54="PT SBI",SUMIFS(Database!$AC$4:$AC$599981,Database!$D$4:$D$599981,Sheet2!$A82,Database!$C$4:$C$599981,Sheet2!$R$4),IF(Sheet2!$D$54="PT SG",SUMIFS(Database!$AD$4:$AD$599981,Database!$D$4:$D$599981,Sheet2!A82,Database!$C$4:$C$599981,Sheet2!$R$4),IF(Sheet2!$D$54="PT CCI",SUMIFS(Database!$AE$4:$AE$599981,Database!$D$4:$D$599981,Sheet2!A82,Database!$C$4:$C$599981,Sheet2!$R$4),IF(Sheet2!$D$54="PT ST",SUMIFS(Database!$AF$4:$AF$599981,Database!$D$4:$D$599981,Sheet2!A82,Database!$C$4:$C$599981,Sheet2!$R$4),IF(Sheet2!$D$54="PT SBM",SUMIFS(Database!$AG$4:$AG$599981,Database!$D$4:$D$599981,Sheet2!A82,Database!$C$4:$C$599981,Sheet2!$R$4),SUMIFS(Database!$AH$4:$AH$599981,Database!$D$4:$D$599981,Sheet2!A82,Database!$C$4:$C$599981,Sheet2!$R$4)))))))))))</f>
        <v>0</v>
      </c>
    </row>
    <row r="83" spans="1:4" x14ac:dyDescent="0.35">
      <c r="A83" t="s">
        <v>92</v>
      </c>
      <c r="D83">
        <f>IF($R$4="Nasional",IF($D$54="PT SP",SUMIFS(Database!$Y$4:$Y$599981,Database!$D$4:$D$599981,Sheet2!A83),IF($D$54="PT SB",SUMIFS(Database!$Z$4:$Z$599981,Database!$D$4:$D$599981,Sheet2!A83),IF(Sheet2!$D$54="PT CG",SUMIFS(Database!$AA$4:$AA$599981,Database!$D$4:$D$599981,Sheet2!A83),IF(Sheet2!$D$54="PT ITP",SUMIFS(Database!$AB$4:$AB$599981,Database!$D$4:$D$599981,Sheet2!A83),IF(Sheet2!$D$54="PT SBI",SUMIFS(Database!$AC$4:$AC$599981,Database!$D$4:$D$599981,Sheet2!$A83),IF(Sheet2!$D$54="PT SG",SUMIFS(Database!$AD$4:$AD$599981,Database!$D$4:$D$599981,Sheet2!A83),IF(Sheet2!$D$54="PT CCI",SUMIFS(Database!$AE$4:$AE$599981,Database!$D$4:$D$599981,Sheet2!A83),IF(Sheet2!$D$54="PT ST",SUMIFS(Database!$AF$4:$AF$599981,Database!$D$4:$D$599981,Sheet2!A83),IF(Sheet2!$D$54="PT SBM",SUMIFS(Database!$AG$4:$AG$599981,Database!$D$4:$D$599981,Sheet2!A83),SUMIFS(Database!$AH$4:$AH$599981,Database!$D$4:$D$599981,Sheet2!A83)))))))))),IF($D$54="PT SP",SUMIFS(Database!$Y$4:$Y$599981,Database!$D$4:$D$599981,Sheet2!A83,Database!$C$4:$C$599981,Sheet2!$R$4),IF($D$54="PT SB",SUMIFS(Database!$Z$4:$Z$599981,Database!$D$4:$D$599981,Sheet2!A83,Database!$C$4:$C$599981,Sheet2!$R$4),IF(Sheet2!$D$54="PT CG",SUMIFS(Database!$AA$4:$AA$599981,Database!$D$4:$D$599981,Sheet2!A83,Database!$C$4:$C$599981,Sheet2!$R$4),IF(Sheet2!$D$54="PT ITP",SUMIFS(Database!$AB$4:$AB$599981,Database!$D$4:$D$599981,Sheet2!A83,Database!$C$4:$C$599981,Sheet2!$R$4),IF(Sheet2!$D$54="PT SBI",SUMIFS(Database!$AC$4:$AC$599981,Database!$D$4:$D$599981,Sheet2!$A83,Database!$C$4:$C$599981,Sheet2!$R$4),IF(Sheet2!$D$54="PT SG",SUMIFS(Database!$AD$4:$AD$599981,Database!$D$4:$D$599981,Sheet2!A83,Database!$C$4:$C$599981,Sheet2!$R$4),IF(Sheet2!$D$54="PT CCI",SUMIFS(Database!$AE$4:$AE$599981,Database!$D$4:$D$599981,Sheet2!A83,Database!$C$4:$C$599981,Sheet2!$R$4),IF(Sheet2!$D$54="PT ST",SUMIFS(Database!$AF$4:$AF$599981,Database!$D$4:$D$599981,Sheet2!A83,Database!$C$4:$C$599981,Sheet2!$R$4),IF(Sheet2!$D$54="PT SBM",SUMIFS(Database!$AG$4:$AG$599981,Database!$D$4:$D$599981,Sheet2!A83,Database!$C$4:$C$599981,Sheet2!$R$4),SUMIFS(Database!$AH$4:$AH$599981,Database!$D$4:$D$599981,Sheet2!A83,Database!$C$4:$C$599981,Sheet2!$R$4)))))))))))</f>
        <v>0</v>
      </c>
    </row>
    <row r="84" spans="1:4" x14ac:dyDescent="0.35">
      <c r="A84" t="s">
        <v>98</v>
      </c>
      <c r="D84">
        <f>IF($R$4="Nasional",IF($D$54="PT SP",SUMIFS(Database!$Y$4:$Y$599981,Database!$D$4:$D$599981,Sheet2!A84),IF($D$54="PT SB",SUMIFS(Database!$Z$4:$Z$599981,Database!$D$4:$D$599981,Sheet2!A84),IF(Sheet2!$D$54="PT CG",SUMIFS(Database!$AA$4:$AA$599981,Database!$D$4:$D$599981,Sheet2!A84),IF(Sheet2!$D$54="PT ITP",SUMIFS(Database!$AB$4:$AB$599981,Database!$D$4:$D$599981,Sheet2!A84),IF(Sheet2!$D$54="PT SBI",SUMIFS(Database!$AC$4:$AC$599981,Database!$D$4:$D$599981,Sheet2!$A84),IF(Sheet2!$D$54="PT SG",SUMIFS(Database!$AD$4:$AD$599981,Database!$D$4:$D$599981,Sheet2!A84),IF(Sheet2!$D$54="PT CCI",SUMIFS(Database!$AE$4:$AE$599981,Database!$D$4:$D$599981,Sheet2!A84),IF(Sheet2!$D$54="PT ST",SUMIFS(Database!$AF$4:$AF$599981,Database!$D$4:$D$599981,Sheet2!A84),IF(Sheet2!$D$54="PT SBM",SUMIFS(Database!$AG$4:$AG$599981,Database!$D$4:$D$599981,Sheet2!A84),SUMIFS(Database!$AH$4:$AH$599981,Database!$D$4:$D$599981,Sheet2!A84)))))))))),IF($D$54="PT SP",SUMIFS(Database!$Y$4:$Y$599981,Database!$D$4:$D$599981,Sheet2!A84,Database!$C$4:$C$599981,Sheet2!$R$4),IF($D$54="PT SB",SUMIFS(Database!$Z$4:$Z$599981,Database!$D$4:$D$599981,Sheet2!A84,Database!$C$4:$C$599981,Sheet2!$R$4),IF(Sheet2!$D$54="PT CG",SUMIFS(Database!$AA$4:$AA$599981,Database!$D$4:$D$599981,Sheet2!A84,Database!$C$4:$C$599981,Sheet2!$R$4),IF(Sheet2!$D$54="PT ITP",SUMIFS(Database!$AB$4:$AB$599981,Database!$D$4:$D$599981,Sheet2!A84,Database!$C$4:$C$599981,Sheet2!$R$4),IF(Sheet2!$D$54="PT SBI",SUMIFS(Database!$AC$4:$AC$599981,Database!$D$4:$D$599981,Sheet2!$A84,Database!$C$4:$C$599981,Sheet2!$R$4),IF(Sheet2!$D$54="PT SG",SUMIFS(Database!$AD$4:$AD$599981,Database!$D$4:$D$599981,Sheet2!A84,Database!$C$4:$C$599981,Sheet2!$R$4),IF(Sheet2!$D$54="PT CCI",SUMIFS(Database!$AE$4:$AE$599981,Database!$D$4:$D$599981,Sheet2!A84,Database!$C$4:$C$599981,Sheet2!$R$4),IF(Sheet2!$D$54="PT ST",SUMIFS(Database!$AF$4:$AF$599981,Database!$D$4:$D$599981,Sheet2!A84,Database!$C$4:$C$599981,Sheet2!$R$4),IF(Sheet2!$D$54="PT SBM",SUMIFS(Database!$AG$4:$AG$599981,Database!$D$4:$D$599981,Sheet2!A84,Database!$C$4:$C$599981,Sheet2!$R$4),SUMIFS(Database!$AH$4:$AH$599981,Database!$D$4:$D$599981,Sheet2!A84,Database!$C$4:$C$599981,Sheet2!$R$4)))))))))))</f>
        <v>0</v>
      </c>
    </row>
    <row r="85" spans="1:4" x14ac:dyDescent="0.35">
      <c r="A85" t="s">
        <v>108</v>
      </c>
      <c r="D85">
        <f>IF($R$4="Nasional",IF($D$54="PT SP",SUMIFS(Database!$Y$4:$Y$599981,Database!$D$4:$D$599981,Sheet2!A85),IF($D$54="PT SB",SUMIFS(Database!$Z$4:$Z$599981,Database!$D$4:$D$599981,Sheet2!A85),IF(Sheet2!$D$54="PT CG",SUMIFS(Database!$AA$4:$AA$599981,Database!$D$4:$D$599981,Sheet2!A85),IF(Sheet2!$D$54="PT ITP",SUMIFS(Database!$AB$4:$AB$599981,Database!$D$4:$D$599981,Sheet2!A85),IF(Sheet2!$D$54="PT SBI",SUMIFS(Database!$AC$4:$AC$599981,Database!$D$4:$D$599981,Sheet2!$A85),IF(Sheet2!$D$54="PT SG",SUMIFS(Database!$AD$4:$AD$599981,Database!$D$4:$D$599981,Sheet2!A85),IF(Sheet2!$D$54="PT CCI",SUMIFS(Database!$AE$4:$AE$599981,Database!$D$4:$D$599981,Sheet2!A85),IF(Sheet2!$D$54="PT ST",SUMIFS(Database!$AF$4:$AF$599981,Database!$D$4:$D$599981,Sheet2!A85),IF(Sheet2!$D$54="PT SBM",SUMIFS(Database!$AG$4:$AG$599981,Database!$D$4:$D$599981,Sheet2!A85),SUMIFS(Database!$AH$4:$AH$599981,Database!$D$4:$D$599981,Sheet2!A85)))))))))),IF($D$54="PT SP",SUMIFS(Database!$Y$4:$Y$599981,Database!$D$4:$D$599981,Sheet2!A85,Database!$C$4:$C$599981,Sheet2!$R$4),IF($D$54="PT SB",SUMIFS(Database!$Z$4:$Z$599981,Database!$D$4:$D$599981,Sheet2!A85,Database!$C$4:$C$599981,Sheet2!$R$4),IF(Sheet2!$D$54="PT CG",SUMIFS(Database!$AA$4:$AA$599981,Database!$D$4:$D$599981,Sheet2!A85,Database!$C$4:$C$599981,Sheet2!$R$4),IF(Sheet2!$D$54="PT ITP",SUMIFS(Database!$AB$4:$AB$599981,Database!$D$4:$D$599981,Sheet2!A85,Database!$C$4:$C$599981,Sheet2!$R$4),IF(Sheet2!$D$54="PT SBI",SUMIFS(Database!$AC$4:$AC$599981,Database!$D$4:$D$599981,Sheet2!$A85,Database!$C$4:$C$599981,Sheet2!$R$4),IF(Sheet2!$D$54="PT SG",SUMIFS(Database!$AD$4:$AD$599981,Database!$D$4:$D$599981,Sheet2!A85,Database!$C$4:$C$599981,Sheet2!$R$4),IF(Sheet2!$D$54="PT CCI",SUMIFS(Database!$AE$4:$AE$599981,Database!$D$4:$D$599981,Sheet2!A85,Database!$C$4:$C$599981,Sheet2!$R$4),IF(Sheet2!$D$54="PT ST",SUMIFS(Database!$AF$4:$AF$599981,Database!$D$4:$D$599981,Sheet2!A85,Database!$C$4:$C$599981,Sheet2!$R$4),IF(Sheet2!$D$54="PT SBM",SUMIFS(Database!$AG$4:$AG$599981,Database!$D$4:$D$599981,Sheet2!A85,Database!$C$4:$C$599981,Sheet2!$R$4),SUMIFS(Database!$AH$4:$AH$599981,Database!$D$4:$D$599981,Sheet2!A85,Database!$C$4:$C$599981,Sheet2!$R$4)))))))))))</f>
        <v>0</v>
      </c>
    </row>
    <row r="86" spans="1:4" x14ac:dyDescent="0.35">
      <c r="A86" t="s">
        <v>109</v>
      </c>
      <c r="D86">
        <f>IF($R$4="Nasional",IF($D$54="PT SP",SUMIFS(Database!$Y$4:$Y$599981,Database!$D$4:$D$599981,Sheet2!A86),IF($D$54="PT SB",SUMIFS(Database!$Z$4:$Z$599981,Database!$D$4:$D$599981,Sheet2!A86),IF(Sheet2!$D$54="PT CG",SUMIFS(Database!$AA$4:$AA$599981,Database!$D$4:$D$599981,Sheet2!A86),IF(Sheet2!$D$54="PT ITP",SUMIFS(Database!$AB$4:$AB$599981,Database!$D$4:$D$599981,Sheet2!A86),IF(Sheet2!$D$54="PT SBI",SUMIFS(Database!$AC$4:$AC$599981,Database!$D$4:$D$599981,Sheet2!$A86),IF(Sheet2!$D$54="PT SG",SUMIFS(Database!$AD$4:$AD$599981,Database!$D$4:$D$599981,Sheet2!A86),IF(Sheet2!$D$54="PT CCI",SUMIFS(Database!$AE$4:$AE$599981,Database!$D$4:$D$599981,Sheet2!A86),IF(Sheet2!$D$54="PT ST",SUMIFS(Database!$AF$4:$AF$599981,Database!$D$4:$D$599981,Sheet2!A86),IF(Sheet2!$D$54="PT SBM",SUMIFS(Database!$AG$4:$AG$599981,Database!$D$4:$D$599981,Sheet2!A86),SUMIFS(Database!$AH$4:$AH$599981,Database!$D$4:$D$599981,Sheet2!A86)))))))))),IF($D$54="PT SP",SUMIFS(Database!$Y$4:$Y$599981,Database!$D$4:$D$599981,Sheet2!A86,Database!$C$4:$C$599981,Sheet2!$R$4),IF($D$54="PT SB",SUMIFS(Database!$Z$4:$Z$599981,Database!$D$4:$D$599981,Sheet2!A86,Database!$C$4:$C$599981,Sheet2!$R$4),IF(Sheet2!$D$54="PT CG",SUMIFS(Database!$AA$4:$AA$599981,Database!$D$4:$D$599981,Sheet2!A86,Database!$C$4:$C$599981,Sheet2!$R$4),IF(Sheet2!$D$54="PT ITP",SUMIFS(Database!$AB$4:$AB$599981,Database!$D$4:$D$599981,Sheet2!A86,Database!$C$4:$C$599981,Sheet2!$R$4),IF(Sheet2!$D$54="PT SBI",SUMIFS(Database!$AC$4:$AC$599981,Database!$D$4:$D$599981,Sheet2!$A86,Database!$C$4:$C$599981,Sheet2!$R$4),IF(Sheet2!$D$54="PT SG",SUMIFS(Database!$AD$4:$AD$599981,Database!$D$4:$D$599981,Sheet2!A86,Database!$C$4:$C$599981,Sheet2!$R$4),IF(Sheet2!$D$54="PT CCI",SUMIFS(Database!$AE$4:$AE$599981,Database!$D$4:$D$599981,Sheet2!A86,Database!$C$4:$C$599981,Sheet2!$R$4),IF(Sheet2!$D$54="PT ST",SUMIFS(Database!$AF$4:$AF$599981,Database!$D$4:$D$599981,Sheet2!A86,Database!$C$4:$C$599981,Sheet2!$R$4),IF(Sheet2!$D$54="PT SBM",SUMIFS(Database!$AG$4:$AG$599981,Database!$D$4:$D$599981,Sheet2!A86,Database!$C$4:$C$599981,Sheet2!$R$4),SUMIFS(Database!$AH$4:$AH$599981,Database!$D$4:$D$599981,Sheet2!A86,Database!$C$4:$C$599981,Sheet2!$R$4)))))))))))</f>
        <v>0</v>
      </c>
    </row>
    <row r="87" spans="1:4" x14ac:dyDescent="0.35">
      <c r="A87" t="s">
        <v>101</v>
      </c>
      <c r="D87">
        <f>IF($R$4="Nasional",IF($D$54="PT SP",SUMIFS(Database!$Y$4:$Y$599981,Database!$D$4:$D$599981,Sheet2!A87),IF($D$54="PT SB",SUMIFS(Database!$Z$4:$Z$599981,Database!$D$4:$D$599981,Sheet2!A87),IF(Sheet2!$D$54="PT CG",SUMIFS(Database!$AA$4:$AA$599981,Database!$D$4:$D$599981,Sheet2!A87),IF(Sheet2!$D$54="PT ITP",SUMIFS(Database!$AB$4:$AB$599981,Database!$D$4:$D$599981,Sheet2!A87),IF(Sheet2!$D$54="PT SBI",SUMIFS(Database!$AC$4:$AC$599981,Database!$D$4:$D$599981,Sheet2!$A87),IF(Sheet2!$D$54="PT SG",SUMIFS(Database!$AD$4:$AD$599981,Database!$D$4:$D$599981,Sheet2!A87),IF(Sheet2!$D$54="PT CCI",SUMIFS(Database!$AE$4:$AE$599981,Database!$D$4:$D$599981,Sheet2!A87),IF(Sheet2!$D$54="PT ST",SUMIFS(Database!$AF$4:$AF$599981,Database!$D$4:$D$599981,Sheet2!A87),IF(Sheet2!$D$54="PT SBM",SUMIFS(Database!$AG$4:$AG$599981,Database!$D$4:$D$599981,Sheet2!A87),SUMIFS(Database!$AH$4:$AH$599981,Database!$D$4:$D$599981,Sheet2!A87)))))))))),IF($D$54="PT SP",SUMIFS(Database!$Y$4:$Y$599981,Database!$D$4:$D$599981,Sheet2!A87,Database!$C$4:$C$599981,Sheet2!$R$4),IF($D$54="PT SB",SUMIFS(Database!$Z$4:$Z$599981,Database!$D$4:$D$599981,Sheet2!A87,Database!$C$4:$C$599981,Sheet2!$R$4),IF(Sheet2!$D$54="PT CG",SUMIFS(Database!$AA$4:$AA$599981,Database!$D$4:$D$599981,Sheet2!A87,Database!$C$4:$C$599981,Sheet2!$R$4),IF(Sheet2!$D$54="PT ITP",SUMIFS(Database!$AB$4:$AB$599981,Database!$D$4:$D$599981,Sheet2!A87,Database!$C$4:$C$599981,Sheet2!$R$4),IF(Sheet2!$D$54="PT SBI",SUMIFS(Database!$AC$4:$AC$599981,Database!$D$4:$D$599981,Sheet2!$A87,Database!$C$4:$C$599981,Sheet2!$R$4),IF(Sheet2!$D$54="PT SG",SUMIFS(Database!$AD$4:$AD$599981,Database!$D$4:$D$599981,Sheet2!A87,Database!$C$4:$C$599981,Sheet2!$R$4),IF(Sheet2!$D$54="PT CCI",SUMIFS(Database!$AE$4:$AE$599981,Database!$D$4:$D$599981,Sheet2!A87,Database!$C$4:$C$599981,Sheet2!$R$4),IF(Sheet2!$D$54="PT ST",SUMIFS(Database!$AF$4:$AF$599981,Database!$D$4:$D$599981,Sheet2!A87,Database!$C$4:$C$599981,Sheet2!$R$4),IF(Sheet2!$D$54="PT SBM",SUMIFS(Database!$AG$4:$AG$599981,Database!$D$4:$D$599981,Sheet2!A87,Database!$C$4:$C$599981,Sheet2!$R$4),SUMIFS(Database!$AH$4:$AH$599981,Database!$D$4:$D$599981,Sheet2!A87,Database!$C$4:$C$599981,Sheet2!$R$4)))))))))))</f>
        <v>0</v>
      </c>
    </row>
    <row r="88" spans="1:4" x14ac:dyDescent="0.35">
      <c r="A88" t="s">
        <v>102</v>
      </c>
      <c r="D88">
        <f>IF($R$4="Nasional",IF($D$54="PT SP",SUMIFS(Database!$Y$4:$Y$599981,Database!$D$4:$D$599981,Sheet2!A88),IF($D$54="PT SB",SUMIFS(Database!$Z$4:$Z$599981,Database!$D$4:$D$599981,Sheet2!A88),IF(Sheet2!$D$54="PT CG",SUMIFS(Database!$AA$4:$AA$599981,Database!$D$4:$D$599981,Sheet2!A88),IF(Sheet2!$D$54="PT ITP",SUMIFS(Database!$AB$4:$AB$599981,Database!$D$4:$D$599981,Sheet2!A88),IF(Sheet2!$D$54="PT SBI",SUMIFS(Database!$AC$4:$AC$599981,Database!$D$4:$D$599981,Sheet2!$A88),IF(Sheet2!$D$54="PT SG",SUMIFS(Database!$AD$4:$AD$599981,Database!$D$4:$D$599981,Sheet2!A88),IF(Sheet2!$D$54="PT CCI",SUMIFS(Database!$AE$4:$AE$599981,Database!$D$4:$D$599981,Sheet2!A88),IF(Sheet2!$D$54="PT ST",SUMIFS(Database!$AF$4:$AF$599981,Database!$D$4:$D$599981,Sheet2!A88),IF(Sheet2!$D$54="PT SBM",SUMIFS(Database!$AG$4:$AG$599981,Database!$D$4:$D$599981,Sheet2!A88),SUMIFS(Database!$AH$4:$AH$599981,Database!$D$4:$D$599981,Sheet2!A88)))))))))),IF($D$54="PT SP",SUMIFS(Database!$Y$4:$Y$599981,Database!$D$4:$D$599981,Sheet2!A88,Database!$C$4:$C$599981,Sheet2!$R$4),IF($D$54="PT SB",SUMIFS(Database!$Z$4:$Z$599981,Database!$D$4:$D$599981,Sheet2!A88,Database!$C$4:$C$599981,Sheet2!$R$4),IF(Sheet2!$D$54="PT CG",SUMIFS(Database!$AA$4:$AA$599981,Database!$D$4:$D$599981,Sheet2!A88,Database!$C$4:$C$599981,Sheet2!$R$4),IF(Sheet2!$D$54="PT ITP",SUMIFS(Database!$AB$4:$AB$599981,Database!$D$4:$D$599981,Sheet2!A88,Database!$C$4:$C$599981,Sheet2!$R$4),IF(Sheet2!$D$54="PT SBI",SUMIFS(Database!$AC$4:$AC$599981,Database!$D$4:$D$599981,Sheet2!$A88,Database!$C$4:$C$599981,Sheet2!$R$4),IF(Sheet2!$D$54="PT SG",SUMIFS(Database!$AD$4:$AD$599981,Database!$D$4:$D$599981,Sheet2!A88,Database!$C$4:$C$599981,Sheet2!$R$4),IF(Sheet2!$D$54="PT CCI",SUMIFS(Database!$AE$4:$AE$599981,Database!$D$4:$D$599981,Sheet2!A88,Database!$C$4:$C$599981,Sheet2!$R$4),IF(Sheet2!$D$54="PT ST",SUMIFS(Database!$AF$4:$AF$599981,Database!$D$4:$D$599981,Sheet2!A88,Database!$C$4:$C$599981,Sheet2!$R$4),IF(Sheet2!$D$54="PT SBM",SUMIFS(Database!$AG$4:$AG$599981,Database!$D$4:$D$599981,Sheet2!A88,Database!$C$4:$C$599981,Sheet2!$R$4),SUMIFS(Database!$AH$4:$AH$599981,Database!$D$4:$D$599981,Sheet2!A88,Database!$C$4:$C$599981,Sheet2!$R$4)))))))))))</f>
        <v>0</v>
      </c>
    </row>
    <row r="89" spans="1:4" x14ac:dyDescent="0.35">
      <c r="A89" t="s">
        <v>110</v>
      </c>
      <c r="D89">
        <f>IF($R$4="Nasional",IF($D$54="PT SP",SUMIFS(Database!$Y$4:$Y$599981,Database!$D$4:$D$599981,Sheet2!A89),IF($D$54="PT SB",SUMIFS(Database!$Z$4:$Z$599981,Database!$D$4:$D$599981,Sheet2!A89),IF(Sheet2!$D$54="PT CG",SUMIFS(Database!$AA$4:$AA$599981,Database!$D$4:$D$599981,Sheet2!A89),IF(Sheet2!$D$54="PT ITP",SUMIFS(Database!$AB$4:$AB$599981,Database!$D$4:$D$599981,Sheet2!A89),IF(Sheet2!$D$54="PT SBI",SUMIFS(Database!$AC$4:$AC$599981,Database!$D$4:$D$599981,Sheet2!$A89),IF(Sheet2!$D$54="PT SG",SUMIFS(Database!$AD$4:$AD$599981,Database!$D$4:$D$599981,Sheet2!A89),IF(Sheet2!$D$54="PT CCI",SUMIFS(Database!$AE$4:$AE$599981,Database!$D$4:$D$599981,Sheet2!A89),IF(Sheet2!$D$54="PT ST",SUMIFS(Database!$AF$4:$AF$599981,Database!$D$4:$D$599981,Sheet2!A89),IF(Sheet2!$D$54="PT SBM",SUMIFS(Database!$AG$4:$AG$599981,Database!$D$4:$D$599981,Sheet2!A89),SUMIFS(Database!$AH$4:$AH$599981,Database!$D$4:$D$599981,Sheet2!A89)))))))))),IF($D$54="PT SP",SUMIFS(Database!$Y$4:$Y$599981,Database!$D$4:$D$599981,Sheet2!A89,Database!$C$4:$C$599981,Sheet2!$R$4),IF($D$54="PT SB",SUMIFS(Database!$Z$4:$Z$599981,Database!$D$4:$D$599981,Sheet2!A89,Database!$C$4:$C$599981,Sheet2!$R$4),IF(Sheet2!$D$54="PT CG",SUMIFS(Database!$AA$4:$AA$599981,Database!$D$4:$D$599981,Sheet2!A89,Database!$C$4:$C$599981,Sheet2!$R$4),IF(Sheet2!$D$54="PT ITP",SUMIFS(Database!$AB$4:$AB$599981,Database!$D$4:$D$599981,Sheet2!A89,Database!$C$4:$C$599981,Sheet2!$R$4),IF(Sheet2!$D$54="PT SBI",SUMIFS(Database!$AC$4:$AC$599981,Database!$D$4:$D$599981,Sheet2!$A89,Database!$C$4:$C$599981,Sheet2!$R$4),IF(Sheet2!$D$54="PT SG",SUMIFS(Database!$AD$4:$AD$599981,Database!$D$4:$D$599981,Sheet2!A89,Database!$C$4:$C$599981,Sheet2!$R$4),IF(Sheet2!$D$54="PT CCI",SUMIFS(Database!$AE$4:$AE$599981,Database!$D$4:$D$599981,Sheet2!A89,Database!$C$4:$C$599981,Sheet2!$R$4),IF(Sheet2!$D$54="PT ST",SUMIFS(Database!$AF$4:$AF$599981,Database!$D$4:$D$599981,Sheet2!A89,Database!$C$4:$C$599981,Sheet2!$R$4),IF(Sheet2!$D$54="PT SBM",SUMIFS(Database!$AG$4:$AG$599981,Database!$D$4:$D$599981,Sheet2!A89,Database!$C$4:$C$599981,Sheet2!$R$4),SUMIFS(Database!$AH$4:$AH$599981,Database!$D$4:$D$599981,Sheet2!A89,Database!$C$4:$C$599981,Sheet2!$R$4)))))))))))</f>
        <v>0</v>
      </c>
    </row>
    <row r="90" spans="1:4" x14ac:dyDescent="0.35">
      <c r="A90" t="s">
        <v>111</v>
      </c>
      <c r="D90">
        <f>IF($R$4="Nasional",IF($D$54="PT SP",SUMIFS(Database!$Y$4:$Y$599981,Database!$D$4:$D$599981,Sheet2!A90),IF($D$54="PT SB",SUMIFS(Database!$Z$4:$Z$599981,Database!$D$4:$D$599981,Sheet2!A90),IF(Sheet2!$D$54="PT CG",SUMIFS(Database!$AA$4:$AA$599981,Database!$D$4:$D$599981,Sheet2!A90),IF(Sheet2!$D$54="PT ITP",SUMIFS(Database!$AB$4:$AB$599981,Database!$D$4:$D$599981,Sheet2!A90),IF(Sheet2!$D$54="PT SBI",SUMIFS(Database!$AC$4:$AC$599981,Database!$D$4:$D$599981,Sheet2!$A90),IF(Sheet2!$D$54="PT SG",SUMIFS(Database!$AD$4:$AD$599981,Database!$D$4:$D$599981,Sheet2!A90),IF(Sheet2!$D$54="PT CCI",SUMIFS(Database!$AE$4:$AE$599981,Database!$D$4:$D$599981,Sheet2!A90),IF(Sheet2!$D$54="PT ST",SUMIFS(Database!$AF$4:$AF$599981,Database!$D$4:$D$599981,Sheet2!A90),IF(Sheet2!$D$54="PT SBM",SUMIFS(Database!$AG$4:$AG$599981,Database!$D$4:$D$599981,Sheet2!A90),SUMIFS(Database!$AH$4:$AH$599981,Database!$D$4:$D$599981,Sheet2!A90)))))))))),IF($D$54="PT SP",SUMIFS(Database!$Y$4:$Y$599981,Database!$D$4:$D$599981,Sheet2!A90,Database!$C$4:$C$599981,Sheet2!$R$4),IF($D$54="PT SB",SUMIFS(Database!$Z$4:$Z$599981,Database!$D$4:$D$599981,Sheet2!A90,Database!$C$4:$C$599981,Sheet2!$R$4),IF(Sheet2!$D$54="PT CG",SUMIFS(Database!$AA$4:$AA$599981,Database!$D$4:$D$599981,Sheet2!A90,Database!$C$4:$C$599981,Sheet2!$R$4),IF(Sheet2!$D$54="PT ITP",SUMIFS(Database!$AB$4:$AB$599981,Database!$D$4:$D$599981,Sheet2!A90,Database!$C$4:$C$599981,Sheet2!$R$4),IF(Sheet2!$D$54="PT SBI",SUMIFS(Database!$AC$4:$AC$599981,Database!$D$4:$D$599981,Sheet2!$A90,Database!$C$4:$C$599981,Sheet2!$R$4),IF(Sheet2!$D$54="PT SG",SUMIFS(Database!$AD$4:$AD$599981,Database!$D$4:$D$599981,Sheet2!A90,Database!$C$4:$C$599981,Sheet2!$R$4),IF(Sheet2!$D$54="PT CCI",SUMIFS(Database!$AE$4:$AE$599981,Database!$D$4:$D$599981,Sheet2!A90,Database!$C$4:$C$599981,Sheet2!$R$4),IF(Sheet2!$D$54="PT ST",SUMIFS(Database!$AF$4:$AF$599981,Database!$D$4:$D$599981,Sheet2!A90,Database!$C$4:$C$599981,Sheet2!$R$4),IF(Sheet2!$D$54="PT SBM",SUMIFS(Database!$AG$4:$AG$599981,Database!$D$4:$D$599981,Sheet2!A90,Database!$C$4:$C$599981,Sheet2!$R$4),SUMIFS(Database!$AH$4:$AH$599981,Database!$D$4:$D$599981,Sheet2!A90,Database!$C$4:$C$599981,Sheet2!$R$4)))))))))))</f>
        <v>0</v>
      </c>
    </row>
    <row r="91" spans="1:4" x14ac:dyDescent="0.35">
      <c r="A91" t="s">
        <v>112</v>
      </c>
      <c r="D91">
        <f>IF($R$4="Nasional",IF($D$54="PT SP",SUMIFS(Database!$Y$4:$Y$599981,Database!$D$4:$D$599981,Sheet2!A91),IF($D$54="PT SB",SUMIFS(Database!$Z$4:$Z$599981,Database!$D$4:$D$599981,Sheet2!A91),IF(Sheet2!$D$54="PT CG",SUMIFS(Database!$AA$4:$AA$599981,Database!$D$4:$D$599981,Sheet2!A91),IF(Sheet2!$D$54="PT ITP",SUMIFS(Database!$AB$4:$AB$599981,Database!$D$4:$D$599981,Sheet2!A91),IF(Sheet2!$D$54="PT SBI",SUMIFS(Database!$AC$4:$AC$599981,Database!$D$4:$D$599981,Sheet2!$A91),IF(Sheet2!$D$54="PT SG",SUMIFS(Database!$AD$4:$AD$599981,Database!$D$4:$D$599981,Sheet2!A91),IF(Sheet2!$D$54="PT CCI",SUMIFS(Database!$AE$4:$AE$599981,Database!$D$4:$D$599981,Sheet2!A91),IF(Sheet2!$D$54="PT ST",SUMIFS(Database!$AF$4:$AF$599981,Database!$D$4:$D$599981,Sheet2!A91),IF(Sheet2!$D$54="PT SBM",SUMIFS(Database!$AG$4:$AG$599981,Database!$D$4:$D$599981,Sheet2!A91),SUMIFS(Database!$AH$4:$AH$599981,Database!$D$4:$D$599981,Sheet2!A91)))))))))),IF($D$54="PT SP",SUMIFS(Database!$Y$4:$Y$599981,Database!$D$4:$D$599981,Sheet2!A91,Database!$C$4:$C$599981,Sheet2!$R$4),IF($D$54="PT SB",SUMIFS(Database!$Z$4:$Z$599981,Database!$D$4:$D$599981,Sheet2!A91,Database!$C$4:$C$599981,Sheet2!$R$4),IF(Sheet2!$D$54="PT CG",SUMIFS(Database!$AA$4:$AA$599981,Database!$D$4:$D$599981,Sheet2!A91,Database!$C$4:$C$599981,Sheet2!$R$4),IF(Sheet2!$D$54="PT ITP",SUMIFS(Database!$AB$4:$AB$599981,Database!$D$4:$D$599981,Sheet2!A91,Database!$C$4:$C$599981,Sheet2!$R$4),IF(Sheet2!$D$54="PT SBI",SUMIFS(Database!$AC$4:$AC$599981,Database!$D$4:$D$599981,Sheet2!$A91,Database!$C$4:$C$599981,Sheet2!$R$4),IF(Sheet2!$D$54="PT SG",SUMIFS(Database!$AD$4:$AD$599981,Database!$D$4:$D$599981,Sheet2!A91,Database!$C$4:$C$599981,Sheet2!$R$4),IF(Sheet2!$D$54="PT CCI",SUMIFS(Database!$AE$4:$AE$599981,Database!$D$4:$D$599981,Sheet2!A91,Database!$C$4:$C$599981,Sheet2!$R$4),IF(Sheet2!$D$54="PT ST",SUMIFS(Database!$AF$4:$AF$599981,Database!$D$4:$D$599981,Sheet2!A91,Database!$C$4:$C$599981,Sheet2!$R$4),IF(Sheet2!$D$54="PT SBM",SUMIFS(Database!$AG$4:$AG$599981,Database!$D$4:$D$599981,Sheet2!A91,Database!$C$4:$C$599981,Sheet2!$R$4),SUMIFS(Database!$AH$4:$AH$599981,Database!$D$4:$D$599981,Sheet2!A91,Database!$C$4:$C$599981,Sheet2!$R$4)))))))))))</f>
        <v>0</v>
      </c>
    </row>
    <row r="92" spans="1:4" x14ac:dyDescent="0.35">
      <c r="A92" t="s">
        <v>113</v>
      </c>
      <c r="D92">
        <f>IF($R$4="Nasional",IF($D$54="PT SP",SUMIFS(Database!$Y$4:$Y$599981,Database!$D$4:$D$599981,Sheet2!A92),IF($D$54="PT SB",SUMIFS(Database!$Z$4:$Z$599981,Database!$D$4:$D$599981,Sheet2!A92),IF(Sheet2!$D$54="PT CG",SUMIFS(Database!$AA$4:$AA$599981,Database!$D$4:$D$599981,Sheet2!A92),IF(Sheet2!$D$54="PT ITP",SUMIFS(Database!$AB$4:$AB$599981,Database!$D$4:$D$599981,Sheet2!A92),IF(Sheet2!$D$54="PT SBI",SUMIFS(Database!$AC$4:$AC$599981,Database!$D$4:$D$599981,Sheet2!$A92),IF(Sheet2!$D$54="PT SG",SUMIFS(Database!$AD$4:$AD$599981,Database!$D$4:$D$599981,Sheet2!A92),IF(Sheet2!$D$54="PT CCI",SUMIFS(Database!$AE$4:$AE$599981,Database!$D$4:$D$599981,Sheet2!A92),IF(Sheet2!$D$54="PT ST",SUMIFS(Database!$AF$4:$AF$599981,Database!$D$4:$D$599981,Sheet2!A92),IF(Sheet2!$D$54="PT SBM",SUMIFS(Database!$AG$4:$AG$599981,Database!$D$4:$D$599981,Sheet2!A92),SUMIFS(Database!$AH$4:$AH$599981,Database!$D$4:$D$599981,Sheet2!A92)))))))))),IF($D$54="PT SP",SUMIFS(Database!$Y$4:$Y$599981,Database!$D$4:$D$599981,Sheet2!A92,Database!$C$4:$C$599981,Sheet2!$R$4),IF($D$54="PT SB",SUMIFS(Database!$Z$4:$Z$599981,Database!$D$4:$D$599981,Sheet2!A92,Database!$C$4:$C$599981,Sheet2!$R$4),IF(Sheet2!$D$54="PT CG",SUMIFS(Database!$AA$4:$AA$599981,Database!$D$4:$D$599981,Sheet2!A92,Database!$C$4:$C$599981,Sheet2!$R$4),IF(Sheet2!$D$54="PT ITP",SUMIFS(Database!$AB$4:$AB$599981,Database!$D$4:$D$599981,Sheet2!A92,Database!$C$4:$C$599981,Sheet2!$R$4),IF(Sheet2!$D$54="PT SBI",SUMIFS(Database!$AC$4:$AC$599981,Database!$D$4:$D$599981,Sheet2!$A92,Database!$C$4:$C$599981,Sheet2!$R$4),IF(Sheet2!$D$54="PT SG",SUMIFS(Database!$AD$4:$AD$599981,Database!$D$4:$D$599981,Sheet2!A92,Database!$C$4:$C$599981,Sheet2!$R$4),IF(Sheet2!$D$54="PT CCI",SUMIFS(Database!$AE$4:$AE$599981,Database!$D$4:$D$599981,Sheet2!A92,Database!$C$4:$C$599981,Sheet2!$R$4),IF(Sheet2!$D$54="PT ST",SUMIFS(Database!$AF$4:$AF$599981,Database!$D$4:$D$599981,Sheet2!A92,Database!$C$4:$C$599981,Sheet2!$R$4),IF(Sheet2!$D$54="PT SBM",SUMIFS(Database!$AG$4:$AG$599981,Database!$D$4:$D$599981,Sheet2!A92,Database!$C$4:$C$599981,Sheet2!$R$4),SUMIFS(Database!$AH$4:$AH$599981,Database!$D$4:$D$599981,Sheet2!A92,Database!$C$4:$C$599981,Sheet2!$R$4)))))))))))</f>
        <v>0</v>
      </c>
    </row>
    <row r="93" spans="1:4" x14ac:dyDescent="0.35">
      <c r="A93" t="s">
        <v>114</v>
      </c>
      <c r="D93">
        <f>IF($R$4="Nasional",IF($D$54="PT SP",SUMIFS(Database!$Y$4:$Y$599981,Database!$D$4:$D$599981,Sheet2!A93),IF($D$54="PT SB",SUMIFS(Database!$Z$4:$Z$599981,Database!$D$4:$D$599981,Sheet2!A93),IF(Sheet2!$D$54="PT CG",SUMIFS(Database!$AA$4:$AA$599981,Database!$D$4:$D$599981,Sheet2!A93),IF(Sheet2!$D$54="PT ITP",SUMIFS(Database!$AB$4:$AB$599981,Database!$D$4:$D$599981,Sheet2!A93),IF(Sheet2!$D$54="PT SBI",SUMIFS(Database!$AC$4:$AC$599981,Database!$D$4:$D$599981,Sheet2!$A93),IF(Sheet2!$D$54="PT SG",SUMIFS(Database!$AD$4:$AD$599981,Database!$D$4:$D$599981,Sheet2!A93),IF(Sheet2!$D$54="PT CCI",SUMIFS(Database!$AE$4:$AE$599981,Database!$D$4:$D$599981,Sheet2!A93),IF(Sheet2!$D$54="PT ST",SUMIFS(Database!$AF$4:$AF$599981,Database!$D$4:$D$599981,Sheet2!A93),IF(Sheet2!$D$54="PT SBM",SUMIFS(Database!$AG$4:$AG$599981,Database!$D$4:$D$599981,Sheet2!A93),SUMIFS(Database!$AH$4:$AH$599981,Database!$D$4:$D$599981,Sheet2!A93)))))))))),IF($D$54="PT SP",SUMIFS(Database!$Y$4:$Y$599981,Database!$D$4:$D$599981,Sheet2!A93,Database!$C$4:$C$599981,Sheet2!$R$4),IF($D$54="PT SB",SUMIFS(Database!$Z$4:$Z$599981,Database!$D$4:$D$599981,Sheet2!A93,Database!$C$4:$C$599981,Sheet2!$R$4),IF(Sheet2!$D$54="PT CG",SUMIFS(Database!$AA$4:$AA$599981,Database!$D$4:$D$599981,Sheet2!A93,Database!$C$4:$C$599981,Sheet2!$R$4),IF(Sheet2!$D$54="PT ITP",SUMIFS(Database!$AB$4:$AB$599981,Database!$D$4:$D$599981,Sheet2!A93,Database!$C$4:$C$599981,Sheet2!$R$4),IF(Sheet2!$D$54="PT SBI",SUMIFS(Database!$AC$4:$AC$599981,Database!$D$4:$D$599981,Sheet2!$A93,Database!$C$4:$C$599981,Sheet2!$R$4),IF(Sheet2!$D$54="PT SG",SUMIFS(Database!$AD$4:$AD$599981,Database!$D$4:$D$599981,Sheet2!A93,Database!$C$4:$C$599981,Sheet2!$R$4),IF(Sheet2!$D$54="PT CCI",SUMIFS(Database!$AE$4:$AE$599981,Database!$D$4:$D$599981,Sheet2!A93,Database!$C$4:$C$599981,Sheet2!$R$4),IF(Sheet2!$D$54="PT ST",SUMIFS(Database!$AF$4:$AF$599981,Database!$D$4:$D$599981,Sheet2!A93,Database!$C$4:$C$599981,Sheet2!$R$4),IF(Sheet2!$D$54="PT SBM",SUMIFS(Database!$AG$4:$AG$599981,Database!$D$4:$D$599981,Sheet2!A93,Database!$C$4:$C$599981,Sheet2!$R$4),SUMIFS(Database!$AH$4:$AH$599981,Database!$D$4:$D$599981,Sheet2!A93,Database!$C$4:$C$599981,Sheet2!$R$4)))))))))))</f>
        <v>0</v>
      </c>
    </row>
    <row r="94" spans="1:4" x14ac:dyDescent="0.35">
      <c r="A94" t="s">
        <v>115</v>
      </c>
      <c r="D94">
        <f>IF($R$4="Nasional",IF($D$54="PT SP",SUMIFS(Database!$Y$4:$Y$599981,Database!$D$4:$D$599981,Sheet2!A94),IF($D$54="PT SB",SUMIFS(Database!$Z$4:$Z$599981,Database!$D$4:$D$599981,Sheet2!A94),IF(Sheet2!$D$54="PT CG",SUMIFS(Database!$AA$4:$AA$599981,Database!$D$4:$D$599981,Sheet2!A94),IF(Sheet2!$D$54="PT ITP",SUMIFS(Database!$AB$4:$AB$599981,Database!$D$4:$D$599981,Sheet2!A94),IF(Sheet2!$D$54="PT SBI",SUMIFS(Database!$AC$4:$AC$599981,Database!$D$4:$D$599981,Sheet2!$A94),IF(Sheet2!$D$54="PT SG",SUMIFS(Database!$AD$4:$AD$599981,Database!$D$4:$D$599981,Sheet2!A94),IF(Sheet2!$D$54="PT CCI",SUMIFS(Database!$AE$4:$AE$599981,Database!$D$4:$D$599981,Sheet2!A94),IF(Sheet2!$D$54="PT ST",SUMIFS(Database!$AF$4:$AF$599981,Database!$D$4:$D$599981,Sheet2!A94),IF(Sheet2!$D$54="PT SBM",SUMIFS(Database!$AG$4:$AG$599981,Database!$D$4:$D$599981,Sheet2!A94),SUMIFS(Database!$AH$4:$AH$599981,Database!$D$4:$D$599981,Sheet2!A94)))))))))),IF($D$54="PT SP",SUMIFS(Database!$Y$4:$Y$599981,Database!$D$4:$D$599981,Sheet2!A94,Database!$C$4:$C$599981,Sheet2!$R$4),IF($D$54="PT SB",SUMIFS(Database!$Z$4:$Z$599981,Database!$D$4:$D$599981,Sheet2!A94,Database!$C$4:$C$599981,Sheet2!$R$4),IF(Sheet2!$D$54="PT CG",SUMIFS(Database!$AA$4:$AA$599981,Database!$D$4:$D$599981,Sheet2!A94,Database!$C$4:$C$599981,Sheet2!$R$4),IF(Sheet2!$D$54="PT ITP",SUMIFS(Database!$AB$4:$AB$599981,Database!$D$4:$D$599981,Sheet2!A94,Database!$C$4:$C$599981,Sheet2!$R$4),IF(Sheet2!$D$54="PT SBI",SUMIFS(Database!$AC$4:$AC$599981,Database!$D$4:$D$599981,Sheet2!$A94,Database!$C$4:$C$599981,Sheet2!$R$4),IF(Sheet2!$D$54="PT SG",SUMIFS(Database!$AD$4:$AD$599981,Database!$D$4:$D$599981,Sheet2!A94,Database!$C$4:$C$599981,Sheet2!$R$4),IF(Sheet2!$D$54="PT CCI",SUMIFS(Database!$AE$4:$AE$599981,Database!$D$4:$D$599981,Sheet2!A94,Database!$C$4:$C$599981,Sheet2!$R$4),IF(Sheet2!$D$54="PT ST",SUMIFS(Database!$AF$4:$AF$599981,Database!$D$4:$D$599981,Sheet2!A94,Database!$C$4:$C$599981,Sheet2!$R$4),IF(Sheet2!$D$54="PT SBM",SUMIFS(Database!$AG$4:$AG$599981,Database!$D$4:$D$599981,Sheet2!A94,Database!$C$4:$C$599981,Sheet2!$R$4),SUMIFS(Database!$AH$4:$AH$599981,Database!$D$4:$D$599981,Sheet2!A94,Database!$C$4:$C$599981,Sheet2!$R$4)))))))))))</f>
        <v>0</v>
      </c>
    </row>
    <row r="95" spans="1:4" x14ac:dyDescent="0.35">
      <c r="A95" t="s">
        <v>116</v>
      </c>
      <c r="D95">
        <f>IF($R$4="Nasional",IF($D$54="PT SP",SUMIFS(Database!$Y$4:$Y$599981,Database!$D$4:$D$599981,Sheet2!A95),IF($D$54="PT SB",SUMIFS(Database!$Z$4:$Z$599981,Database!$D$4:$D$599981,Sheet2!A95),IF(Sheet2!$D$54="PT CG",SUMIFS(Database!$AA$4:$AA$599981,Database!$D$4:$D$599981,Sheet2!A95),IF(Sheet2!$D$54="PT ITP",SUMIFS(Database!$AB$4:$AB$599981,Database!$D$4:$D$599981,Sheet2!A95),IF(Sheet2!$D$54="PT SBI",SUMIFS(Database!$AC$4:$AC$599981,Database!$D$4:$D$599981,Sheet2!$A95),IF(Sheet2!$D$54="PT SG",SUMIFS(Database!$AD$4:$AD$599981,Database!$D$4:$D$599981,Sheet2!A95),IF(Sheet2!$D$54="PT CCI",SUMIFS(Database!$AE$4:$AE$599981,Database!$D$4:$D$599981,Sheet2!A95),IF(Sheet2!$D$54="PT ST",SUMIFS(Database!$AF$4:$AF$599981,Database!$D$4:$D$599981,Sheet2!A95),IF(Sheet2!$D$54="PT SBM",SUMIFS(Database!$AG$4:$AG$599981,Database!$D$4:$D$599981,Sheet2!A95),SUMIFS(Database!$AH$4:$AH$599981,Database!$D$4:$D$599981,Sheet2!A95)))))))))),IF($D$54="PT SP",SUMIFS(Database!$Y$4:$Y$599981,Database!$D$4:$D$599981,Sheet2!A95,Database!$C$4:$C$599981,Sheet2!$R$4),IF($D$54="PT SB",SUMIFS(Database!$Z$4:$Z$599981,Database!$D$4:$D$599981,Sheet2!A95,Database!$C$4:$C$599981,Sheet2!$R$4),IF(Sheet2!$D$54="PT CG",SUMIFS(Database!$AA$4:$AA$599981,Database!$D$4:$D$599981,Sheet2!A95,Database!$C$4:$C$599981,Sheet2!$R$4),IF(Sheet2!$D$54="PT ITP",SUMIFS(Database!$AB$4:$AB$599981,Database!$D$4:$D$599981,Sheet2!A95,Database!$C$4:$C$599981,Sheet2!$R$4),IF(Sheet2!$D$54="PT SBI",SUMIFS(Database!$AC$4:$AC$599981,Database!$D$4:$D$599981,Sheet2!$A95,Database!$C$4:$C$599981,Sheet2!$R$4),IF(Sheet2!$D$54="PT SG",SUMIFS(Database!$AD$4:$AD$599981,Database!$D$4:$D$599981,Sheet2!A95,Database!$C$4:$C$599981,Sheet2!$R$4),IF(Sheet2!$D$54="PT CCI",SUMIFS(Database!$AE$4:$AE$599981,Database!$D$4:$D$599981,Sheet2!A95,Database!$C$4:$C$599981,Sheet2!$R$4),IF(Sheet2!$D$54="PT ST",SUMIFS(Database!$AF$4:$AF$599981,Database!$D$4:$D$599981,Sheet2!A95,Database!$C$4:$C$599981,Sheet2!$R$4),IF(Sheet2!$D$54="PT SBM",SUMIFS(Database!$AG$4:$AG$599981,Database!$D$4:$D$599981,Sheet2!A95,Database!$C$4:$C$599981,Sheet2!$R$4),SUMIFS(Database!$AH$4:$AH$599981,Database!$D$4:$D$599981,Sheet2!A95,Database!$C$4:$C$599981,Sheet2!$R$4)))))))))))</f>
        <v>0</v>
      </c>
    </row>
    <row r="96" spans="1:4" x14ac:dyDescent="0.35">
      <c r="A96" t="s">
        <v>117</v>
      </c>
      <c r="D96">
        <f>IF($R$4="Nasional",IF($D$54="PT SP",SUMIFS(Database!$Y$4:$Y$599981,Database!$D$4:$D$599981,Sheet2!A96),IF($D$54="PT SB",SUMIFS(Database!$Z$4:$Z$599981,Database!$D$4:$D$599981,Sheet2!A96),IF(Sheet2!$D$54="PT CG",SUMIFS(Database!$AA$4:$AA$599981,Database!$D$4:$D$599981,Sheet2!A96),IF(Sheet2!$D$54="PT ITP",SUMIFS(Database!$AB$4:$AB$599981,Database!$D$4:$D$599981,Sheet2!A96),IF(Sheet2!$D$54="PT SBI",SUMIFS(Database!$AC$4:$AC$599981,Database!$D$4:$D$599981,Sheet2!$A96),IF(Sheet2!$D$54="PT SG",SUMIFS(Database!$AD$4:$AD$599981,Database!$D$4:$D$599981,Sheet2!A96),IF(Sheet2!$D$54="PT CCI",SUMIFS(Database!$AE$4:$AE$599981,Database!$D$4:$D$599981,Sheet2!A96),IF(Sheet2!$D$54="PT ST",SUMIFS(Database!$AF$4:$AF$599981,Database!$D$4:$D$599981,Sheet2!A96),IF(Sheet2!$D$54="PT SBM",SUMIFS(Database!$AG$4:$AG$599981,Database!$D$4:$D$599981,Sheet2!A96),SUMIFS(Database!$AH$4:$AH$599981,Database!$D$4:$D$599981,Sheet2!A96)))))))))),IF($D$54="PT SP",SUMIFS(Database!$Y$4:$Y$599981,Database!$D$4:$D$599981,Sheet2!A96,Database!$C$4:$C$599981,Sheet2!$R$4),IF($D$54="PT SB",SUMIFS(Database!$Z$4:$Z$599981,Database!$D$4:$D$599981,Sheet2!A96,Database!$C$4:$C$599981,Sheet2!$R$4),IF(Sheet2!$D$54="PT CG",SUMIFS(Database!$AA$4:$AA$599981,Database!$D$4:$D$599981,Sheet2!A96,Database!$C$4:$C$599981,Sheet2!$R$4),IF(Sheet2!$D$54="PT ITP",SUMIFS(Database!$AB$4:$AB$599981,Database!$D$4:$D$599981,Sheet2!A96,Database!$C$4:$C$599981,Sheet2!$R$4),IF(Sheet2!$D$54="PT SBI",SUMIFS(Database!$AC$4:$AC$599981,Database!$D$4:$D$599981,Sheet2!$A96,Database!$C$4:$C$599981,Sheet2!$R$4),IF(Sheet2!$D$54="PT SG",SUMIFS(Database!$AD$4:$AD$599981,Database!$D$4:$D$599981,Sheet2!A96,Database!$C$4:$C$599981,Sheet2!$R$4),IF(Sheet2!$D$54="PT CCI",SUMIFS(Database!$AE$4:$AE$599981,Database!$D$4:$D$599981,Sheet2!A96,Database!$C$4:$C$599981,Sheet2!$R$4),IF(Sheet2!$D$54="PT ST",SUMIFS(Database!$AF$4:$AF$599981,Database!$D$4:$D$599981,Sheet2!A96,Database!$C$4:$C$599981,Sheet2!$R$4),IF(Sheet2!$D$54="PT SBM",SUMIFS(Database!$AG$4:$AG$599981,Database!$D$4:$D$599981,Sheet2!A96,Database!$C$4:$C$599981,Sheet2!$R$4),SUMIFS(Database!$AH$4:$AH$599981,Database!$D$4:$D$599981,Sheet2!A96,Database!$C$4:$C$599981,Sheet2!$R$4)))))))))))</f>
        <v>0</v>
      </c>
    </row>
    <row r="97" spans="1:4" x14ac:dyDescent="0.35">
      <c r="A97" t="s">
        <v>103</v>
      </c>
      <c r="D97">
        <f>IF($R$4="Nasional",IF($D$54="PT SP",SUMIFS(Database!$Y$4:$Y$599981,Database!$D$4:$D$599981,Sheet2!A97),IF($D$54="PT SB",SUMIFS(Database!$Z$4:$Z$599981,Database!$D$4:$D$599981,Sheet2!A97),IF(Sheet2!$D$54="PT CG",SUMIFS(Database!$AA$4:$AA$599981,Database!$D$4:$D$599981,Sheet2!A97),IF(Sheet2!$D$54="PT ITP",SUMIFS(Database!$AB$4:$AB$599981,Database!$D$4:$D$599981,Sheet2!A97),IF(Sheet2!$D$54="PT SBI",SUMIFS(Database!$AC$4:$AC$599981,Database!$D$4:$D$599981,Sheet2!$A97),IF(Sheet2!$D$54="PT SG",SUMIFS(Database!$AD$4:$AD$599981,Database!$D$4:$D$599981,Sheet2!A97),IF(Sheet2!$D$54="PT CCI",SUMIFS(Database!$AE$4:$AE$599981,Database!$D$4:$D$599981,Sheet2!A97),IF(Sheet2!$D$54="PT ST",SUMIFS(Database!$AF$4:$AF$599981,Database!$D$4:$D$599981,Sheet2!A97),IF(Sheet2!$D$54="PT SBM",SUMIFS(Database!$AG$4:$AG$599981,Database!$D$4:$D$599981,Sheet2!A97),SUMIFS(Database!$AH$4:$AH$599981,Database!$D$4:$D$599981,Sheet2!A97)))))))))),IF($D$54="PT SP",SUMIFS(Database!$Y$4:$Y$599981,Database!$D$4:$D$599981,Sheet2!A97,Database!$C$4:$C$599981,Sheet2!$R$4),IF($D$54="PT SB",SUMIFS(Database!$Z$4:$Z$599981,Database!$D$4:$D$599981,Sheet2!A97,Database!$C$4:$C$599981,Sheet2!$R$4),IF(Sheet2!$D$54="PT CG",SUMIFS(Database!$AA$4:$AA$599981,Database!$D$4:$D$599981,Sheet2!A97,Database!$C$4:$C$599981,Sheet2!$R$4),IF(Sheet2!$D$54="PT ITP",SUMIFS(Database!$AB$4:$AB$599981,Database!$D$4:$D$599981,Sheet2!A97,Database!$C$4:$C$599981,Sheet2!$R$4),IF(Sheet2!$D$54="PT SBI",SUMIFS(Database!$AC$4:$AC$599981,Database!$D$4:$D$599981,Sheet2!$A97,Database!$C$4:$C$599981,Sheet2!$R$4),IF(Sheet2!$D$54="PT SG",SUMIFS(Database!$AD$4:$AD$599981,Database!$D$4:$D$599981,Sheet2!A97,Database!$C$4:$C$599981,Sheet2!$R$4),IF(Sheet2!$D$54="PT CCI",SUMIFS(Database!$AE$4:$AE$599981,Database!$D$4:$D$599981,Sheet2!A97,Database!$C$4:$C$599981,Sheet2!$R$4),IF(Sheet2!$D$54="PT ST",SUMIFS(Database!$AF$4:$AF$599981,Database!$D$4:$D$599981,Sheet2!A97,Database!$C$4:$C$599981,Sheet2!$R$4),IF(Sheet2!$D$54="PT SBM",SUMIFS(Database!$AG$4:$AG$599981,Database!$D$4:$D$599981,Sheet2!A97,Database!$C$4:$C$599981,Sheet2!$R$4),SUMIFS(Database!$AH$4:$AH$599981,Database!$D$4:$D$599981,Sheet2!A97,Database!$C$4:$C$599981,Sheet2!$R$4)))))))))))</f>
        <v>0</v>
      </c>
    </row>
    <row r="98" spans="1:4" x14ac:dyDescent="0.35">
      <c r="A98" t="s">
        <v>118</v>
      </c>
      <c r="D98">
        <f>IF($R$4="Nasional",IF($D$54="PT SP",SUMIFS(Database!$Y$4:$Y$599981,Database!$D$4:$D$599981,Sheet2!A98),IF($D$54="PT SB",SUMIFS(Database!$Z$4:$Z$599981,Database!$D$4:$D$599981,Sheet2!A98),IF(Sheet2!$D$54="PT CG",SUMIFS(Database!$AA$4:$AA$599981,Database!$D$4:$D$599981,Sheet2!A98),IF(Sheet2!$D$54="PT ITP",SUMIFS(Database!$AB$4:$AB$599981,Database!$D$4:$D$599981,Sheet2!A98),IF(Sheet2!$D$54="PT SBI",SUMIFS(Database!$AC$4:$AC$599981,Database!$D$4:$D$599981,Sheet2!$A98),IF(Sheet2!$D$54="PT SG",SUMIFS(Database!$AD$4:$AD$599981,Database!$D$4:$D$599981,Sheet2!A98),IF(Sheet2!$D$54="PT CCI",SUMIFS(Database!$AE$4:$AE$599981,Database!$D$4:$D$599981,Sheet2!A98),IF(Sheet2!$D$54="PT ST",SUMIFS(Database!$AF$4:$AF$599981,Database!$D$4:$D$599981,Sheet2!A98),IF(Sheet2!$D$54="PT SBM",SUMIFS(Database!$AG$4:$AG$599981,Database!$D$4:$D$599981,Sheet2!A98),SUMIFS(Database!$AH$4:$AH$599981,Database!$D$4:$D$599981,Sheet2!A98)))))))))),IF($D$54="PT SP",SUMIFS(Database!$Y$4:$Y$599981,Database!$D$4:$D$599981,Sheet2!A98,Database!$C$4:$C$599981,Sheet2!$R$4),IF($D$54="PT SB",SUMIFS(Database!$Z$4:$Z$599981,Database!$D$4:$D$599981,Sheet2!A98,Database!$C$4:$C$599981,Sheet2!$R$4),IF(Sheet2!$D$54="PT CG",SUMIFS(Database!$AA$4:$AA$599981,Database!$D$4:$D$599981,Sheet2!A98,Database!$C$4:$C$599981,Sheet2!$R$4),IF(Sheet2!$D$54="PT ITP",SUMIFS(Database!$AB$4:$AB$599981,Database!$D$4:$D$599981,Sheet2!A98,Database!$C$4:$C$599981,Sheet2!$R$4),IF(Sheet2!$D$54="PT SBI",SUMIFS(Database!$AC$4:$AC$599981,Database!$D$4:$D$599981,Sheet2!$A98,Database!$C$4:$C$599981,Sheet2!$R$4),IF(Sheet2!$D$54="PT SG",SUMIFS(Database!$AD$4:$AD$599981,Database!$D$4:$D$599981,Sheet2!A98,Database!$C$4:$C$599981,Sheet2!$R$4),IF(Sheet2!$D$54="PT CCI",SUMIFS(Database!$AE$4:$AE$599981,Database!$D$4:$D$599981,Sheet2!A98,Database!$C$4:$C$599981,Sheet2!$R$4),IF(Sheet2!$D$54="PT ST",SUMIFS(Database!$AF$4:$AF$599981,Database!$D$4:$D$599981,Sheet2!A98,Database!$C$4:$C$599981,Sheet2!$R$4),IF(Sheet2!$D$54="PT SBM",SUMIFS(Database!$AG$4:$AG$599981,Database!$D$4:$D$599981,Sheet2!A98,Database!$C$4:$C$599981,Sheet2!$R$4),SUMIFS(Database!$AH$4:$AH$599981,Database!$D$4:$D$599981,Sheet2!A98,Database!$C$4:$C$599981,Sheet2!$R$4)))))))))))</f>
        <v>0</v>
      </c>
    </row>
    <row r="99" spans="1:4" x14ac:dyDescent="0.35">
      <c r="A99" t="s">
        <v>119</v>
      </c>
      <c r="D99">
        <f>IF($R$4="Nasional",IF($D$54="PT SP",SUMIFS(Database!$Y$4:$Y$599981,Database!$D$4:$D$599981,Sheet2!A99),IF($D$54="PT SB",SUMIFS(Database!$Z$4:$Z$599981,Database!$D$4:$D$599981,Sheet2!A99),IF(Sheet2!$D$54="PT CG",SUMIFS(Database!$AA$4:$AA$599981,Database!$D$4:$D$599981,Sheet2!A99),IF(Sheet2!$D$54="PT ITP",SUMIFS(Database!$AB$4:$AB$599981,Database!$D$4:$D$599981,Sheet2!A99),IF(Sheet2!$D$54="PT SBI",SUMIFS(Database!$AC$4:$AC$599981,Database!$D$4:$D$599981,Sheet2!$A99),IF(Sheet2!$D$54="PT SG",SUMIFS(Database!$AD$4:$AD$599981,Database!$D$4:$D$599981,Sheet2!A99),IF(Sheet2!$D$54="PT CCI",SUMIFS(Database!$AE$4:$AE$599981,Database!$D$4:$D$599981,Sheet2!A99),IF(Sheet2!$D$54="PT ST",SUMIFS(Database!$AF$4:$AF$599981,Database!$D$4:$D$599981,Sheet2!A99),IF(Sheet2!$D$54="PT SBM",SUMIFS(Database!$AG$4:$AG$599981,Database!$D$4:$D$599981,Sheet2!A99),SUMIFS(Database!$AH$4:$AH$599981,Database!$D$4:$D$599981,Sheet2!A99)))))))))),IF($D$54="PT SP",SUMIFS(Database!$Y$4:$Y$599981,Database!$D$4:$D$599981,Sheet2!A99,Database!$C$4:$C$599981,Sheet2!$R$4),IF($D$54="PT SB",SUMIFS(Database!$Z$4:$Z$599981,Database!$D$4:$D$599981,Sheet2!A99,Database!$C$4:$C$599981,Sheet2!$R$4),IF(Sheet2!$D$54="PT CG",SUMIFS(Database!$AA$4:$AA$599981,Database!$D$4:$D$599981,Sheet2!A99,Database!$C$4:$C$599981,Sheet2!$R$4),IF(Sheet2!$D$54="PT ITP",SUMIFS(Database!$AB$4:$AB$599981,Database!$D$4:$D$599981,Sheet2!A99,Database!$C$4:$C$599981,Sheet2!$R$4),IF(Sheet2!$D$54="PT SBI",SUMIFS(Database!$AC$4:$AC$599981,Database!$D$4:$D$599981,Sheet2!$A99,Database!$C$4:$C$599981,Sheet2!$R$4),IF(Sheet2!$D$54="PT SG",SUMIFS(Database!$AD$4:$AD$599981,Database!$D$4:$D$599981,Sheet2!A99,Database!$C$4:$C$599981,Sheet2!$R$4),IF(Sheet2!$D$54="PT CCI",SUMIFS(Database!$AE$4:$AE$599981,Database!$D$4:$D$599981,Sheet2!A99,Database!$C$4:$C$599981,Sheet2!$R$4),IF(Sheet2!$D$54="PT ST",SUMIFS(Database!$AF$4:$AF$599981,Database!$D$4:$D$599981,Sheet2!A99,Database!$C$4:$C$599981,Sheet2!$R$4),IF(Sheet2!$D$54="PT SBM",SUMIFS(Database!$AG$4:$AG$599981,Database!$D$4:$D$599981,Sheet2!A99,Database!$C$4:$C$599981,Sheet2!$R$4),SUMIFS(Database!$AH$4:$AH$599981,Database!$D$4:$D$599981,Sheet2!A99,Database!$C$4:$C$599981,Sheet2!$R$4)))))))))))</f>
        <v>0</v>
      </c>
    </row>
    <row r="100" spans="1:4" x14ac:dyDescent="0.35">
      <c r="A100" t="s">
        <v>120</v>
      </c>
      <c r="D100">
        <f>IF($R$4="Nasional",IF($D$54="PT SP",SUMIFS(Database!$Y$4:$Y$599981,Database!$D$4:$D$599981,Sheet2!A100),IF($D$54="PT SB",SUMIFS(Database!$Z$4:$Z$599981,Database!$D$4:$D$599981,Sheet2!A100),IF(Sheet2!$D$54="PT CG",SUMIFS(Database!$AA$4:$AA$599981,Database!$D$4:$D$599981,Sheet2!A100),IF(Sheet2!$D$54="PT ITP",SUMIFS(Database!$AB$4:$AB$599981,Database!$D$4:$D$599981,Sheet2!A100),IF(Sheet2!$D$54="PT SBI",SUMIFS(Database!$AC$4:$AC$599981,Database!$D$4:$D$599981,Sheet2!$A100),IF(Sheet2!$D$54="PT SG",SUMIFS(Database!$AD$4:$AD$599981,Database!$D$4:$D$599981,Sheet2!A100),IF(Sheet2!$D$54="PT CCI",SUMIFS(Database!$AE$4:$AE$599981,Database!$D$4:$D$599981,Sheet2!A100),IF(Sheet2!$D$54="PT ST",SUMIFS(Database!$AF$4:$AF$599981,Database!$D$4:$D$599981,Sheet2!A100),IF(Sheet2!$D$54="PT SBM",SUMIFS(Database!$AG$4:$AG$599981,Database!$D$4:$D$599981,Sheet2!A100),SUMIFS(Database!$AH$4:$AH$599981,Database!$D$4:$D$599981,Sheet2!A100)))))))))),IF($D$54="PT SP",SUMIFS(Database!$Y$4:$Y$599981,Database!$D$4:$D$599981,Sheet2!A100,Database!$C$4:$C$599981,Sheet2!$R$4),IF($D$54="PT SB",SUMIFS(Database!$Z$4:$Z$599981,Database!$D$4:$D$599981,Sheet2!A100,Database!$C$4:$C$599981,Sheet2!$R$4),IF(Sheet2!$D$54="PT CG",SUMIFS(Database!$AA$4:$AA$599981,Database!$D$4:$D$599981,Sheet2!A100,Database!$C$4:$C$599981,Sheet2!$R$4),IF(Sheet2!$D$54="PT ITP",SUMIFS(Database!$AB$4:$AB$599981,Database!$D$4:$D$599981,Sheet2!A100,Database!$C$4:$C$599981,Sheet2!$R$4),IF(Sheet2!$D$54="PT SBI",SUMIFS(Database!$AC$4:$AC$599981,Database!$D$4:$D$599981,Sheet2!$A100,Database!$C$4:$C$599981,Sheet2!$R$4),IF(Sheet2!$D$54="PT SG",SUMIFS(Database!$AD$4:$AD$599981,Database!$D$4:$D$599981,Sheet2!A100,Database!$C$4:$C$599981,Sheet2!$R$4),IF(Sheet2!$D$54="PT CCI",SUMIFS(Database!$AE$4:$AE$599981,Database!$D$4:$D$599981,Sheet2!A100,Database!$C$4:$C$599981,Sheet2!$R$4),IF(Sheet2!$D$54="PT ST",SUMIFS(Database!$AF$4:$AF$599981,Database!$D$4:$D$599981,Sheet2!A100,Database!$C$4:$C$599981,Sheet2!$R$4),IF(Sheet2!$D$54="PT SBM",SUMIFS(Database!$AG$4:$AG$599981,Database!$D$4:$D$599981,Sheet2!A100,Database!$C$4:$C$599981,Sheet2!$R$4),SUMIFS(Database!$AH$4:$AH$599981,Database!$D$4:$D$599981,Sheet2!A100,Database!$C$4:$C$599981,Sheet2!$R$4)))))))))))</f>
        <v>0</v>
      </c>
    </row>
    <row r="101" spans="1:4" x14ac:dyDescent="0.35">
      <c r="A101" t="s">
        <v>121</v>
      </c>
      <c r="D101">
        <f>IF($R$4="Nasional",IF($D$54="PT SP",SUMIFS(Database!$Y$4:$Y$599981,Database!$D$4:$D$599981,Sheet2!A101),IF($D$54="PT SB",SUMIFS(Database!$Z$4:$Z$599981,Database!$D$4:$D$599981,Sheet2!A101),IF(Sheet2!$D$54="PT CG",SUMIFS(Database!$AA$4:$AA$599981,Database!$D$4:$D$599981,Sheet2!A101),IF(Sheet2!$D$54="PT ITP",SUMIFS(Database!$AB$4:$AB$599981,Database!$D$4:$D$599981,Sheet2!A101),IF(Sheet2!$D$54="PT SBI",SUMIFS(Database!$AC$4:$AC$599981,Database!$D$4:$D$599981,Sheet2!$A101),IF(Sheet2!$D$54="PT SG",SUMIFS(Database!$AD$4:$AD$599981,Database!$D$4:$D$599981,Sheet2!A101),IF(Sheet2!$D$54="PT CCI",SUMIFS(Database!$AE$4:$AE$599981,Database!$D$4:$D$599981,Sheet2!A101),IF(Sheet2!$D$54="PT ST",SUMIFS(Database!$AF$4:$AF$599981,Database!$D$4:$D$599981,Sheet2!A101),IF(Sheet2!$D$54="PT SBM",SUMIFS(Database!$AG$4:$AG$599981,Database!$D$4:$D$599981,Sheet2!A101),SUMIFS(Database!$AH$4:$AH$599981,Database!$D$4:$D$599981,Sheet2!A101)))))))))),IF($D$54="PT SP",SUMIFS(Database!$Y$4:$Y$599981,Database!$D$4:$D$599981,Sheet2!A101,Database!$C$4:$C$599981,Sheet2!$R$4),IF($D$54="PT SB",SUMIFS(Database!$Z$4:$Z$599981,Database!$D$4:$D$599981,Sheet2!A101,Database!$C$4:$C$599981,Sheet2!$R$4),IF(Sheet2!$D$54="PT CG",SUMIFS(Database!$AA$4:$AA$599981,Database!$D$4:$D$599981,Sheet2!A101,Database!$C$4:$C$599981,Sheet2!$R$4),IF(Sheet2!$D$54="PT ITP",SUMIFS(Database!$AB$4:$AB$599981,Database!$D$4:$D$599981,Sheet2!A101,Database!$C$4:$C$599981,Sheet2!$R$4),IF(Sheet2!$D$54="PT SBI",SUMIFS(Database!$AC$4:$AC$599981,Database!$D$4:$D$599981,Sheet2!$A101,Database!$C$4:$C$599981,Sheet2!$R$4),IF(Sheet2!$D$54="PT SG",SUMIFS(Database!$AD$4:$AD$599981,Database!$D$4:$D$599981,Sheet2!A101,Database!$C$4:$C$599981,Sheet2!$R$4),IF(Sheet2!$D$54="PT CCI",SUMIFS(Database!$AE$4:$AE$599981,Database!$D$4:$D$599981,Sheet2!A101,Database!$C$4:$C$599981,Sheet2!$R$4),IF(Sheet2!$D$54="PT ST",SUMIFS(Database!$AF$4:$AF$599981,Database!$D$4:$D$599981,Sheet2!A101,Database!$C$4:$C$599981,Sheet2!$R$4),IF(Sheet2!$D$54="PT SBM",SUMIFS(Database!$AG$4:$AG$599981,Database!$D$4:$D$599981,Sheet2!A101,Database!$C$4:$C$599981,Sheet2!$R$4),SUMIFS(Database!$AH$4:$AH$599981,Database!$D$4:$D$599981,Sheet2!A101,Database!$C$4:$C$599981,Sheet2!$R$4)))))))))))</f>
        <v>0</v>
      </c>
    </row>
    <row r="102" spans="1:4" x14ac:dyDescent="0.35">
      <c r="A102" t="s">
        <v>122</v>
      </c>
      <c r="D102">
        <f>IF($R$4="Nasional",IF($D$54="PT SP",SUMIFS(Database!$Y$4:$Y$599981,Database!$D$4:$D$599981,Sheet2!A102),IF($D$54="PT SB",SUMIFS(Database!$Z$4:$Z$599981,Database!$D$4:$D$599981,Sheet2!A102),IF(Sheet2!$D$54="PT CG",SUMIFS(Database!$AA$4:$AA$599981,Database!$D$4:$D$599981,Sheet2!A102),IF(Sheet2!$D$54="PT ITP",SUMIFS(Database!$AB$4:$AB$599981,Database!$D$4:$D$599981,Sheet2!A102),IF(Sheet2!$D$54="PT SBI",SUMIFS(Database!$AC$4:$AC$599981,Database!$D$4:$D$599981,Sheet2!$A102),IF(Sheet2!$D$54="PT SG",SUMIFS(Database!$AD$4:$AD$599981,Database!$D$4:$D$599981,Sheet2!A102),IF(Sheet2!$D$54="PT CCI",SUMIFS(Database!$AE$4:$AE$599981,Database!$D$4:$D$599981,Sheet2!A102),IF(Sheet2!$D$54="PT ST",SUMIFS(Database!$AF$4:$AF$599981,Database!$D$4:$D$599981,Sheet2!A102),IF(Sheet2!$D$54="PT SBM",SUMIFS(Database!$AG$4:$AG$599981,Database!$D$4:$D$599981,Sheet2!A102),SUMIFS(Database!$AH$4:$AH$599981,Database!$D$4:$D$599981,Sheet2!A102)))))))))),IF($D$54="PT SP",SUMIFS(Database!$Y$4:$Y$599981,Database!$D$4:$D$599981,Sheet2!A102,Database!$C$4:$C$599981,Sheet2!$R$4),IF($D$54="PT SB",SUMIFS(Database!$Z$4:$Z$599981,Database!$D$4:$D$599981,Sheet2!A102,Database!$C$4:$C$599981,Sheet2!$R$4),IF(Sheet2!$D$54="PT CG",SUMIFS(Database!$AA$4:$AA$599981,Database!$D$4:$D$599981,Sheet2!A102,Database!$C$4:$C$599981,Sheet2!$R$4),IF(Sheet2!$D$54="PT ITP",SUMIFS(Database!$AB$4:$AB$599981,Database!$D$4:$D$599981,Sheet2!A102,Database!$C$4:$C$599981,Sheet2!$R$4),IF(Sheet2!$D$54="PT SBI",SUMIFS(Database!$AC$4:$AC$599981,Database!$D$4:$D$599981,Sheet2!$A102,Database!$C$4:$C$599981,Sheet2!$R$4),IF(Sheet2!$D$54="PT SG",SUMIFS(Database!$AD$4:$AD$599981,Database!$D$4:$D$599981,Sheet2!A102,Database!$C$4:$C$599981,Sheet2!$R$4),IF(Sheet2!$D$54="PT CCI",SUMIFS(Database!$AE$4:$AE$599981,Database!$D$4:$D$599981,Sheet2!A102,Database!$C$4:$C$599981,Sheet2!$R$4),IF(Sheet2!$D$54="PT ST",SUMIFS(Database!$AF$4:$AF$599981,Database!$D$4:$D$599981,Sheet2!A102,Database!$C$4:$C$599981,Sheet2!$R$4),IF(Sheet2!$D$54="PT SBM",SUMIFS(Database!$AG$4:$AG$599981,Database!$D$4:$D$599981,Sheet2!A102,Database!$C$4:$C$599981,Sheet2!$R$4),SUMIFS(Database!$AH$4:$AH$599981,Database!$D$4:$D$599981,Sheet2!A102,Database!$C$4:$C$599981,Sheet2!$R$4)))))))))))</f>
        <v>0</v>
      </c>
    </row>
    <row r="103" spans="1:4" x14ac:dyDescent="0.35">
      <c r="A103" t="s">
        <v>105</v>
      </c>
      <c r="D103">
        <f>IF($R$4="Nasional",IF($D$54="PT SP",SUMIFS(Database!$Y$4:$Y$599981,Database!$D$4:$D$599981,Sheet2!A103),IF($D$54="PT SB",SUMIFS(Database!$Z$4:$Z$599981,Database!$D$4:$D$599981,Sheet2!A103),IF(Sheet2!$D$54="PT CG",SUMIFS(Database!$AA$4:$AA$599981,Database!$D$4:$D$599981,Sheet2!A103),IF(Sheet2!$D$54="PT ITP",SUMIFS(Database!$AB$4:$AB$599981,Database!$D$4:$D$599981,Sheet2!A103),IF(Sheet2!$D$54="PT SBI",SUMIFS(Database!$AC$4:$AC$599981,Database!$D$4:$D$599981,Sheet2!$A103),IF(Sheet2!$D$54="PT SG",SUMIFS(Database!$AD$4:$AD$599981,Database!$D$4:$D$599981,Sheet2!A103),IF(Sheet2!$D$54="PT CCI",SUMIFS(Database!$AE$4:$AE$599981,Database!$D$4:$D$599981,Sheet2!A103),IF(Sheet2!$D$54="PT ST",SUMIFS(Database!$AF$4:$AF$599981,Database!$D$4:$D$599981,Sheet2!A103),IF(Sheet2!$D$54="PT SBM",SUMIFS(Database!$AG$4:$AG$599981,Database!$D$4:$D$599981,Sheet2!A103),SUMIFS(Database!$AH$4:$AH$599981,Database!$D$4:$D$599981,Sheet2!A103)))))))))),IF($D$54="PT SP",SUMIFS(Database!$Y$4:$Y$599981,Database!$D$4:$D$599981,Sheet2!A103,Database!$C$4:$C$599981,Sheet2!$R$4),IF($D$54="PT SB",SUMIFS(Database!$Z$4:$Z$599981,Database!$D$4:$D$599981,Sheet2!A103,Database!$C$4:$C$599981,Sheet2!$R$4),IF(Sheet2!$D$54="PT CG",SUMIFS(Database!$AA$4:$AA$599981,Database!$D$4:$D$599981,Sheet2!A103,Database!$C$4:$C$599981,Sheet2!$R$4),IF(Sheet2!$D$54="PT ITP",SUMIFS(Database!$AB$4:$AB$599981,Database!$D$4:$D$599981,Sheet2!A103,Database!$C$4:$C$599981,Sheet2!$R$4),IF(Sheet2!$D$54="PT SBI",SUMIFS(Database!$AC$4:$AC$599981,Database!$D$4:$D$599981,Sheet2!$A103,Database!$C$4:$C$599981,Sheet2!$R$4),IF(Sheet2!$D$54="PT SG",SUMIFS(Database!$AD$4:$AD$599981,Database!$D$4:$D$599981,Sheet2!A103,Database!$C$4:$C$599981,Sheet2!$R$4),IF(Sheet2!$D$54="PT CCI",SUMIFS(Database!$AE$4:$AE$599981,Database!$D$4:$D$599981,Sheet2!A103,Database!$C$4:$C$599981,Sheet2!$R$4),IF(Sheet2!$D$54="PT ST",SUMIFS(Database!$AF$4:$AF$599981,Database!$D$4:$D$599981,Sheet2!A103,Database!$C$4:$C$599981,Sheet2!$R$4),IF(Sheet2!$D$54="PT SBM",SUMIFS(Database!$AG$4:$AG$599981,Database!$D$4:$D$599981,Sheet2!A103,Database!$C$4:$C$599981,Sheet2!$R$4),SUMIFS(Database!$AH$4:$AH$599981,Database!$D$4:$D$599981,Sheet2!A103,Database!$C$4:$C$599981,Sheet2!$R$4)))))))))))</f>
        <v>0</v>
      </c>
    </row>
    <row r="104" spans="1:4" x14ac:dyDescent="0.35">
      <c r="A104" t="s">
        <v>123</v>
      </c>
      <c r="D104">
        <f>IF($R$4="Nasional",IF($D$54="PT SP",SUMIFS(Database!$Y$4:$Y$599981,Database!$D$4:$D$599981,Sheet2!A104),IF($D$54="PT SB",SUMIFS(Database!$Z$4:$Z$599981,Database!$D$4:$D$599981,Sheet2!A104),IF(Sheet2!$D$54="PT CG",SUMIFS(Database!$AA$4:$AA$599981,Database!$D$4:$D$599981,Sheet2!A104),IF(Sheet2!$D$54="PT ITP",SUMIFS(Database!$AB$4:$AB$599981,Database!$D$4:$D$599981,Sheet2!A104),IF(Sheet2!$D$54="PT SBI",SUMIFS(Database!$AC$4:$AC$599981,Database!$D$4:$D$599981,Sheet2!$A104),IF(Sheet2!$D$54="PT SG",SUMIFS(Database!$AD$4:$AD$599981,Database!$D$4:$D$599981,Sheet2!A104),IF(Sheet2!$D$54="PT CCI",SUMIFS(Database!$AE$4:$AE$599981,Database!$D$4:$D$599981,Sheet2!A104),IF(Sheet2!$D$54="PT ST",SUMIFS(Database!$AF$4:$AF$599981,Database!$D$4:$D$599981,Sheet2!A104),IF(Sheet2!$D$54="PT SBM",SUMIFS(Database!$AG$4:$AG$599981,Database!$D$4:$D$599981,Sheet2!A104),SUMIFS(Database!$AH$4:$AH$599981,Database!$D$4:$D$599981,Sheet2!A104)))))))))),IF($D$54="PT SP",SUMIFS(Database!$Y$4:$Y$599981,Database!$D$4:$D$599981,Sheet2!A104,Database!$C$4:$C$599981,Sheet2!$R$4),IF($D$54="PT SB",SUMIFS(Database!$Z$4:$Z$599981,Database!$D$4:$D$599981,Sheet2!A104,Database!$C$4:$C$599981,Sheet2!$R$4),IF(Sheet2!$D$54="PT CG",SUMIFS(Database!$AA$4:$AA$599981,Database!$D$4:$D$599981,Sheet2!A104,Database!$C$4:$C$599981,Sheet2!$R$4),IF(Sheet2!$D$54="PT ITP",SUMIFS(Database!$AB$4:$AB$599981,Database!$D$4:$D$599981,Sheet2!A104,Database!$C$4:$C$599981,Sheet2!$R$4),IF(Sheet2!$D$54="PT SBI",SUMIFS(Database!$AC$4:$AC$599981,Database!$D$4:$D$599981,Sheet2!$A104,Database!$C$4:$C$599981,Sheet2!$R$4),IF(Sheet2!$D$54="PT SG",SUMIFS(Database!$AD$4:$AD$599981,Database!$D$4:$D$599981,Sheet2!A104,Database!$C$4:$C$599981,Sheet2!$R$4),IF(Sheet2!$D$54="PT CCI",SUMIFS(Database!$AE$4:$AE$599981,Database!$D$4:$D$599981,Sheet2!A104,Database!$C$4:$C$599981,Sheet2!$R$4),IF(Sheet2!$D$54="PT ST",SUMIFS(Database!$AF$4:$AF$599981,Database!$D$4:$D$599981,Sheet2!A104,Database!$C$4:$C$599981,Sheet2!$R$4),IF(Sheet2!$D$54="PT SBM",SUMIFS(Database!$AG$4:$AG$599981,Database!$D$4:$D$599981,Sheet2!A104,Database!$C$4:$C$599981,Sheet2!$R$4),SUMIFS(Database!$AH$4:$AH$599981,Database!$D$4:$D$599981,Sheet2!A104,Database!$C$4:$C$599981,Sheet2!$R$4)))))))))))</f>
        <v>0</v>
      </c>
    </row>
    <row r="105" spans="1:4" x14ac:dyDescent="0.35">
      <c r="A105" t="s">
        <v>124</v>
      </c>
      <c r="D105">
        <f>IF($R$4="Nasional",IF($D$54="PT SP",SUMIFS(Database!$Y$4:$Y$599981,Database!$D$4:$D$599981,Sheet2!A105),IF($D$54="PT SB",SUMIFS(Database!$Z$4:$Z$599981,Database!$D$4:$D$599981,Sheet2!A105),IF(Sheet2!$D$54="PT CG",SUMIFS(Database!$AA$4:$AA$599981,Database!$D$4:$D$599981,Sheet2!A105),IF(Sheet2!$D$54="PT ITP",SUMIFS(Database!$AB$4:$AB$599981,Database!$D$4:$D$599981,Sheet2!A105),IF(Sheet2!$D$54="PT SBI",SUMIFS(Database!$AC$4:$AC$599981,Database!$D$4:$D$599981,Sheet2!$A105),IF(Sheet2!$D$54="PT SG",SUMIFS(Database!$AD$4:$AD$599981,Database!$D$4:$D$599981,Sheet2!A105),IF(Sheet2!$D$54="PT CCI",SUMIFS(Database!$AE$4:$AE$599981,Database!$D$4:$D$599981,Sheet2!A105),IF(Sheet2!$D$54="PT ST",SUMIFS(Database!$AF$4:$AF$599981,Database!$D$4:$D$599981,Sheet2!A105),IF(Sheet2!$D$54="PT SBM",SUMIFS(Database!$AG$4:$AG$599981,Database!$D$4:$D$599981,Sheet2!A105),SUMIFS(Database!$AH$4:$AH$599981,Database!$D$4:$D$599981,Sheet2!A105)))))))))),IF($D$54="PT SP",SUMIFS(Database!$Y$4:$Y$599981,Database!$D$4:$D$599981,Sheet2!A105,Database!$C$4:$C$599981,Sheet2!$R$4),IF($D$54="PT SB",SUMIFS(Database!$Z$4:$Z$599981,Database!$D$4:$D$599981,Sheet2!A105,Database!$C$4:$C$599981,Sheet2!$R$4),IF(Sheet2!$D$54="PT CG",SUMIFS(Database!$AA$4:$AA$599981,Database!$D$4:$D$599981,Sheet2!A105,Database!$C$4:$C$599981,Sheet2!$R$4),IF(Sheet2!$D$54="PT ITP",SUMIFS(Database!$AB$4:$AB$599981,Database!$D$4:$D$599981,Sheet2!A105,Database!$C$4:$C$599981,Sheet2!$R$4),IF(Sheet2!$D$54="PT SBI",SUMIFS(Database!$AC$4:$AC$599981,Database!$D$4:$D$599981,Sheet2!$A105,Database!$C$4:$C$599981,Sheet2!$R$4),IF(Sheet2!$D$54="PT SG",SUMIFS(Database!$AD$4:$AD$599981,Database!$D$4:$D$599981,Sheet2!A105,Database!$C$4:$C$599981,Sheet2!$R$4),IF(Sheet2!$D$54="PT CCI",SUMIFS(Database!$AE$4:$AE$599981,Database!$D$4:$D$599981,Sheet2!A105,Database!$C$4:$C$599981,Sheet2!$R$4),IF(Sheet2!$D$54="PT ST",SUMIFS(Database!$AF$4:$AF$599981,Database!$D$4:$D$599981,Sheet2!A105,Database!$C$4:$C$599981,Sheet2!$R$4),IF(Sheet2!$D$54="PT SBM",SUMIFS(Database!$AG$4:$AG$599981,Database!$D$4:$D$599981,Sheet2!A105,Database!$C$4:$C$599981,Sheet2!$R$4),SUMIFS(Database!$AH$4:$AH$599981,Database!$D$4:$D$599981,Sheet2!A105,Database!$C$4:$C$599981,Sheet2!$R$4)))))))))))</f>
        <v>0</v>
      </c>
    </row>
    <row r="106" spans="1:4" x14ac:dyDescent="0.35">
      <c r="A106" t="s">
        <v>125</v>
      </c>
      <c r="D106">
        <f>IF($R$4="Nasional",IF($D$54="PT SP",SUMIFS(Database!$Y$4:$Y$599981,Database!$D$4:$D$599981,Sheet2!A106),IF($D$54="PT SB",SUMIFS(Database!$Z$4:$Z$599981,Database!$D$4:$D$599981,Sheet2!A106),IF(Sheet2!$D$54="PT CG",SUMIFS(Database!$AA$4:$AA$599981,Database!$D$4:$D$599981,Sheet2!A106),IF(Sheet2!$D$54="PT ITP",SUMIFS(Database!$AB$4:$AB$599981,Database!$D$4:$D$599981,Sheet2!A106),IF(Sheet2!$D$54="PT SBI",SUMIFS(Database!$AC$4:$AC$599981,Database!$D$4:$D$599981,Sheet2!$A106),IF(Sheet2!$D$54="PT SG",SUMIFS(Database!$AD$4:$AD$599981,Database!$D$4:$D$599981,Sheet2!A106),IF(Sheet2!$D$54="PT CCI",SUMIFS(Database!$AE$4:$AE$599981,Database!$D$4:$D$599981,Sheet2!A106),IF(Sheet2!$D$54="PT ST",SUMIFS(Database!$AF$4:$AF$599981,Database!$D$4:$D$599981,Sheet2!A106),IF(Sheet2!$D$54="PT SBM",SUMIFS(Database!$AG$4:$AG$599981,Database!$D$4:$D$599981,Sheet2!A106),SUMIFS(Database!$AH$4:$AH$599981,Database!$D$4:$D$599981,Sheet2!A106)))))))))),IF($D$54="PT SP",SUMIFS(Database!$Y$4:$Y$599981,Database!$D$4:$D$599981,Sheet2!A106,Database!$C$4:$C$599981,Sheet2!$R$4),IF($D$54="PT SB",SUMIFS(Database!$Z$4:$Z$599981,Database!$D$4:$D$599981,Sheet2!A106,Database!$C$4:$C$599981,Sheet2!$R$4),IF(Sheet2!$D$54="PT CG",SUMIFS(Database!$AA$4:$AA$599981,Database!$D$4:$D$599981,Sheet2!A106,Database!$C$4:$C$599981,Sheet2!$R$4),IF(Sheet2!$D$54="PT ITP",SUMIFS(Database!$AB$4:$AB$599981,Database!$D$4:$D$599981,Sheet2!A106,Database!$C$4:$C$599981,Sheet2!$R$4),IF(Sheet2!$D$54="PT SBI",SUMIFS(Database!$AC$4:$AC$599981,Database!$D$4:$D$599981,Sheet2!$A106,Database!$C$4:$C$599981,Sheet2!$R$4),IF(Sheet2!$D$54="PT SG",SUMIFS(Database!$AD$4:$AD$599981,Database!$D$4:$D$599981,Sheet2!A106,Database!$C$4:$C$599981,Sheet2!$R$4),IF(Sheet2!$D$54="PT CCI",SUMIFS(Database!$AE$4:$AE$599981,Database!$D$4:$D$599981,Sheet2!A106,Database!$C$4:$C$599981,Sheet2!$R$4),IF(Sheet2!$D$54="PT ST",SUMIFS(Database!$AF$4:$AF$599981,Database!$D$4:$D$599981,Sheet2!A106,Database!$C$4:$C$599981,Sheet2!$R$4),IF(Sheet2!$D$54="PT SBM",SUMIFS(Database!$AG$4:$AG$599981,Database!$D$4:$D$599981,Sheet2!A106,Database!$C$4:$C$599981,Sheet2!$R$4),SUMIFS(Database!$AH$4:$AH$599981,Database!$D$4:$D$599981,Sheet2!A106,Database!$C$4:$C$599981,Sheet2!$R$4)))))))))))</f>
        <v>0</v>
      </c>
    </row>
    <row r="107" spans="1:4" x14ac:dyDescent="0.35">
      <c r="A107" t="s">
        <v>106</v>
      </c>
      <c r="D107">
        <f>IF($R$4="Nasional",IF($D$54="PT SP",SUMIFS(Database!$Y$4:$Y$599981,Database!$D$4:$D$599981,Sheet2!A107),IF($D$54="PT SB",SUMIFS(Database!$Z$4:$Z$599981,Database!$D$4:$D$599981,Sheet2!A107),IF(Sheet2!$D$54="PT CG",SUMIFS(Database!$AA$4:$AA$599981,Database!$D$4:$D$599981,Sheet2!A107),IF(Sheet2!$D$54="PT ITP",SUMIFS(Database!$AB$4:$AB$599981,Database!$D$4:$D$599981,Sheet2!A107),IF(Sheet2!$D$54="PT SBI",SUMIFS(Database!$AC$4:$AC$599981,Database!$D$4:$D$599981,Sheet2!$A107),IF(Sheet2!$D$54="PT SG",SUMIFS(Database!$AD$4:$AD$599981,Database!$D$4:$D$599981,Sheet2!A107),IF(Sheet2!$D$54="PT CCI",SUMIFS(Database!$AE$4:$AE$599981,Database!$D$4:$D$599981,Sheet2!A107),IF(Sheet2!$D$54="PT ST",SUMIFS(Database!$AF$4:$AF$599981,Database!$D$4:$D$599981,Sheet2!A107),IF(Sheet2!$D$54="PT SBM",SUMIFS(Database!$AG$4:$AG$599981,Database!$D$4:$D$599981,Sheet2!A107),SUMIFS(Database!$AH$4:$AH$599981,Database!$D$4:$D$599981,Sheet2!A107)))))))))),IF($D$54="PT SP",SUMIFS(Database!$Y$4:$Y$599981,Database!$D$4:$D$599981,Sheet2!A107,Database!$C$4:$C$599981,Sheet2!$R$4),IF($D$54="PT SB",SUMIFS(Database!$Z$4:$Z$599981,Database!$D$4:$D$599981,Sheet2!A107,Database!$C$4:$C$599981,Sheet2!$R$4),IF(Sheet2!$D$54="PT CG",SUMIFS(Database!$AA$4:$AA$599981,Database!$D$4:$D$599981,Sheet2!A107,Database!$C$4:$C$599981,Sheet2!$R$4),IF(Sheet2!$D$54="PT ITP",SUMIFS(Database!$AB$4:$AB$599981,Database!$D$4:$D$599981,Sheet2!A107,Database!$C$4:$C$599981,Sheet2!$R$4),IF(Sheet2!$D$54="PT SBI",SUMIFS(Database!$AC$4:$AC$599981,Database!$D$4:$D$599981,Sheet2!$A107,Database!$C$4:$C$599981,Sheet2!$R$4),IF(Sheet2!$D$54="PT SG",SUMIFS(Database!$AD$4:$AD$599981,Database!$D$4:$D$599981,Sheet2!A107,Database!$C$4:$C$599981,Sheet2!$R$4),IF(Sheet2!$D$54="PT CCI",SUMIFS(Database!$AE$4:$AE$599981,Database!$D$4:$D$599981,Sheet2!A107,Database!$C$4:$C$599981,Sheet2!$R$4),IF(Sheet2!$D$54="PT ST",SUMIFS(Database!$AF$4:$AF$599981,Database!$D$4:$D$599981,Sheet2!A107,Database!$C$4:$C$599981,Sheet2!$R$4),IF(Sheet2!$D$54="PT SBM",SUMIFS(Database!$AG$4:$AG$599981,Database!$D$4:$D$599981,Sheet2!A107,Database!$C$4:$C$599981,Sheet2!$R$4),SUMIFS(Database!$AH$4:$AH$599981,Database!$D$4:$D$599981,Sheet2!A107,Database!$C$4:$C$599981,Sheet2!$R$4)))))))))))</f>
        <v>0</v>
      </c>
    </row>
    <row r="108" spans="1:4" x14ac:dyDescent="0.35">
      <c r="A108" t="s">
        <v>126</v>
      </c>
      <c r="D108">
        <f>IF($R$4="Nasional",IF($D$54="PT SP",SUMIFS(Database!$Y$4:$Y$599981,Database!$D$4:$D$599981,Sheet2!A108),IF($D$54="PT SB",SUMIFS(Database!$Z$4:$Z$599981,Database!$D$4:$D$599981,Sheet2!A108),IF(Sheet2!$D$54="PT CG",SUMIFS(Database!$AA$4:$AA$599981,Database!$D$4:$D$599981,Sheet2!A108),IF(Sheet2!$D$54="PT ITP",SUMIFS(Database!$AB$4:$AB$599981,Database!$D$4:$D$599981,Sheet2!A108),IF(Sheet2!$D$54="PT SBI",SUMIFS(Database!$AC$4:$AC$599981,Database!$D$4:$D$599981,Sheet2!$A108),IF(Sheet2!$D$54="PT SG",SUMIFS(Database!$AD$4:$AD$599981,Database!$D$4:$D$599981,Sheet2!A108),IF(Sheet2!$D$54="PT CCI",SUMIFS(Database!$AE$4:$AE$599981,Database!$D$4:$D$599981,Sheet2!A108),IF(Sheet2!$D$54="PT ST",SUMIFS(Database!$AF$4:$AF$599981,Database!$D$4:$D$599981,Sheet2!A108),IF(Sheet2!$D$54="PT SBM",SUMIFS(Database!$AG$4:$AG$599981,Database!$D$4:$D$599981,Sheet2!A108),SUMIFS(Database!$AH$4:$AH$599981,Database!$D$4:$D$599981,Sheet2!A108)))))))))),IF($D$54="PT SP",SUMIFS(Database!$Y$4:$Y$599981,Database!$D$4:$D$599981,Sheet2!A108,Database!$C$4:$C$599981,Sheet2!$R$4),IF($D$54="PT SB",SUMIFS(Database!$Z$4:$Z$599981,Database!$D$4:$D$599981,Sheet2!A108,Database!$C$4:$C$599981,Sheet2!$R$4),IF(Sheet2!$D$54="PT CG",SUMIFS(Database!$AA$4:$AA$599981,Database!$D$4:$D$599981,Sheet2!A108,Database!$C$4:$C$599981,Sheet2!$R$4),IF(Sheet2!$D$54="PT ITP",SUMIFS(Database!$AB$4:$AB$599981,Database!$D$4:$D$599981,Sheet2!A108,Database!$C$4:$C$599981,Sheet2!$R$4),IF(Sheet2!$D$54="PT SBI",SUMIFS(Database!$AC$4:$AC$599981,Database!$D$4:$D$599981,Sheet2!$A108,Database!$C$4:$C$599981,Sheet2!$R$4),IF(Sheet2!$D$54="PT SG",SUMIFS(Database!$AD$4:$AD$599981,Database!$D$4:$D$599981,Sheet2!A108,Database!$C$4:$C$599981,Sheet2!$R$4),IF(Sheet2!$D$54="PT CCI",SUMIFS(Database!$AE$4:$AE$599981,Database!$D$4:$D$599981,Sheet2!A108,Database!$C$4:$C$599981,Sheet2!$R$4),IF(Sheet2!$D$54="PT ST",SUMIFS(Database!$AF$4:$AF$599981,Database!$D$4:$D$599981,Sheet2!A108,Database!$C$4:$C$599981,Sheet2!$R$4),IF(Sheet2!$D$54="PT SBM",SUMIFS(Database!$AG$4:$AG$599981,Database!$D$4:$D$599981,Sheet2!A108,Database!$C$4:$C$599981,Sheet2!$R$4),SUMIFS(Database!$AH$4:$AH$599981,Database!$D$4:$D$599981,Sheet2!A108,Database!$C$4:$C$599981,Sheet2!$R$4)))))))))))</f>
        <v>0</v>
      </c>
    </row>
    <row r="109" spans="1:4" x14ac:dyDescent="0.35">
      <c r="A109" t="s">
        <v>127</v>
      </c>
      <c r="D109">
        <f>IF($R$4="Nasional",IF($D$54="PT SP",SUMIFS(Database!$Y$4:$Y$599981,Database!$D$4:$D$599981,Sheet2!A109),IF($D$54="PT SB",SUMIFS(Database!$Z$4:$Z$599981,Database!$D$4:$D$599981,Sheet2!A109),IF(Sheet2!$D$54="PT CG",SUMIFS(Database!$AA$4:$AA$599981,Database!$D$4:$D$599981,Sheet2!A109),IF(Sheet2!$D$54="PT ITP",SUMIFS(Database!$AB$4:$AB$599981,Database!$D$4:$D$599981,Sheet2!A109),IF(Sheet2!$D$54="PT SBI",SUMIFS(Database!$AC$4:$AC$599981,Database!$D$4:$D$599981,Sheet2!$A109),IF(Sheet2!$D$54="PT SG",SUMIFS(Database!$AD$4:$AD$599981,Database!$D$4:$D$599981,Sheet2!A109),IF(Sheet2!$D$54="PT CCI",SUMIFS(Database!$AE$4:$AE$599981,Database!$D$4:$D$599981,Sheet2!A109),IF(Sheet2!$D$54="PT ST",SUMIFS(Database!$AF$4:$AF$599981,Database!$D$4:$D$599981,Sheet2!A109),IF(Sheet2!$D$54="PT SBM",SUMIFS(Database!$AG$4:$AG$599981,Database!$D$4:$D$599981,Sheet2!A109),SUMIFS(Database!$AH$4:$AH$599981,Database!$D$4:$D$599981,Sheet2!A109)))))))))),IF($D$54="PT SP",SUMIFS(Database!$Y$4:$Y$599981,Database!$D$4:$D$599981,Sheet2!A109,Database!$C$4:$C$599981,Sheet2!$R$4),IF($D$54="PT SB",SUMIFS(Database!$Z$4:$Z$599981,Database!$D$4:$D$599981,Sheet2!A109,Database!$C$4:$C$599981,Sheet2!$R$4),IF(Sheet2!$D$54="PT CG",SUMIFS(Database!$AA$4:$AA$599981,Database!$D$4:$D$599981,Sheet2!A109,Database!$C$4:$C$599981,Sheet2!$R$4),IF(Sheet2!$D$54="PT ITP",SUMIFS(Database!$AB$4:$AB$599981,Database!$D$4:$D$599981,Sheet2!A109,Database!$C$4:$C$599981,Sheet2!$R$4),IF(Sheet2!$D$54="PT SBI",SUMIFS(Database!$AC$4:$AC$599981,Database!$D$4:$D$599981,Sheet2!$A109,Database!$C$4:$C$599981,Sheet2!$R$4),IF(Sheet2!$D$54="PT SG",SUMIFS(Database!$AD$4:$AD$599981,Database!$D$4:$D$599981,Sheet2!A109,Database!$C$4:$C$599981,Sheet2!$R$4),IF(Sheet2!$D$54="PT CCI",SUMIFS(Database!$AE$4:$AE$599981,Database!$D$4:$D$599981,Sheet2!A109,Database!$C$4:$C$599981,Sheet2!$R$4),IF(Sheet2!$D$54="PT ST",SUMIFS(Database!$AF$4:$AF$599981,Database!$D$4:$D$599981,Sheet2!A109,Database!$C$4:$C$599981,Sheet2!$R$4),IF(Sheet2!$D$54="PT SBM",SUMIFS(Database!$AG$4:$AG$599981,Database!$D$4:$D$599981,Sheet2!A109,Database!$C$4:$C$599981,Sheet2!$R$4),SUMIFS(Database!$AH$4:$AH$599981,Database!$D$4:$D$599981,Sheet2!A109,Database!$C$4:$C$599981,Sheet2!$R$4)))))))))))</f>
        <v>0</v>
      </c>
    </row>
    <row r="110" spans="1:4" x14ac:dyDescent="0.35">
      <c r="A110" t="s">
        <v>93</v>
      </c>
      <c r="D110">
        <f>IF($R$4="Nasional",IF($D$54="PT SP",SUMIFS(Database!$Y$4:$Y$599981,Database!$D$4:$D$599981,Sheet2!A110),IF($D$54="PT SB",SUMIFS(Database!$Z$4:$Z$599981,Database!$D$4:$D$599981,Sheet2!A110),IF(Sheet2!$D$54="PT CG",SUMIFS(Database!$AA$4:$AA$599981,Database!$D$4:$D$599981,Sheet2!A110),IF(Sheet2!$D$54="PT ITP",SUMIFS(Database!$AB$4:$AB$599981,Database!$D$4:$D$599981,Sheet2!A110),IF(Sheet2!$D$54="PT SBI",SUMIFS(Database!$AC$4:$AC$599981,Database!$D$4:$D$599981,Sheet2!$A110),IF(Sheet2!$D$54="PT SG",SUMIFS(Database!$AD$4:$AD$599981,Database!$D$4:$D$599981,Sheet2!A110),IF(Sheet2!$D$54="PT CCI",SUMIFS(Database!$AE$4:$AE$599981,Database!$D$4:$D$599981,Sheet2!A110),IF(Sheet2!$D$54="PT ST",SUMIFS(Database!$AF$4:$AF$599981,Database!$D$4:$D$599981,Sheet2!A110),IF(Sheet2!$D$54="PT SBM",SUMIFS(Database!$AG$4:$AG$599981,Database!$D$4:$D$599981,Sheet2!A110),SUMIFS(Database!$AH$4:$AH$599981,Database!$D$4:$D$599981,Sheet2!A110)))))))))),IF($D$54="PT SP",SUMIFS(Database!$Y$4:$Y$599981,Database!$D$4:$D$599981,Sheet2!A110,Database!$C$4:$C$599981,Sheet2!$R$4),IF($D$54="PT SB",SUMIFS(Database!$Z$4:$Z$599981,Database!$D$4:$D$599981,Sheet2!A110,Database!$C$4:$C$599981,Sheet2!$R$4),IF(Sheet2!$D$54="PT CG",SUMIFS(Database!$AA$4:$AA$599981,Database!$D$4:$D$599981,Sheet2!A110,Database!$C$4:$C$599981,Sheet2!$R$4),IF(Sheet2!$D$54="PT ITP",SUMIFS(Database!$AB$4:$AB$599981,Database!$D$4:$D$599981,Sheet2!A110,Database!$C$4:$C$599981,Sheet2!$R$4),IF(Sheet2!$D$54="PT SBI",SUMIFS(Database!$AC$4:$AC$599981,Database!$D$4:$D$599981,Sheet2!$A110,Database!$C$4:$C$599981,Sheet2!$R$4),IF(Sheet2!$D$54="PT SG",SUMIFS(Database!$AD$4:$AD$599981,Database!$D$4:$D$599981,Sheet2!A110,Database!$C$4:$C$599981,Sheet2!$R$4),IF(Sheet2!$D$54="PT CCI",SUMIFS(Database!$AE$4:$AE$599981,Database!$D$4:$D$599981,Sheet2!A110,Database!$C$4:$C$599981,Sheet2!$R$4),IF(Sheet2!$D$54="PT ST",SUMIFS(Database!$AF$4:$AF$599981,Database!$D$4:$D$599981,Sheet2!A110,Database!$C$4:$C$599981,Sheet2!$R$4),IF(Sheet2!$D$54="PT SBM",SUMIFS(Database!$AG$4:$AG$599981,Database!$D$4:$D$599981,Sheet2!A110,Database!$C$4:$C$599981,Sheet2!$R$4),SUMIFS(Database!$AH$4:$AH$599981,Database!$D$4:$D$599981,Sheet2!A110,Database!$C$4:$C$599981,Sheet2!$R$4)))))))))))</f>
        <v>0</v>
      </c>
    </row>
    <row r="111" spans="1:4" x14ac:dyDescent="0.35">
      <c r="A111" t="s">
        <v>94</v>
      </c>
      <c r="D111">
        <f>IF($R$4="Nasional",IF($D$54="PT SP",SUMIFS(Database!$Y$4:$Y$599981,Database!$D$4:$D$599981,Sheet2!A111),IF($D$54="PT SB",SUMIFS(Database!$Z$4:$Z$599981,Database!$D$4:$D$599981,Sheet2!A111),IF(Sheet2!$D$54="PT CG",SUMIFS(Database!$AA$4:$AA$599981,Database!$D$4:$D$599981,Sheet2!A111),IF(Sheet2!$D$54="PT ITP",SUMIFS(Database!$AB$4:$AB$599981,Database!$D$4:$D$599981,Sheet2!A111),IF(Sheet2!$D$54="PT SBI",SUMIFS(Database!$AC$4:$AC$599981,Database!$D$4:$D$599981,Sheet2!$A111),IF(Sheet2!$D$54="PT SG",SUMIFS(Database!$AD$4:$AD$599981,Database!$D$4:$D$599981,Sheet2!A111),IF(Sheet2!$D$54="PT CCI",SUMIFS(Database!$AE$4:$AE$599981,Database!$D$4:$D$599981,Sheet2!A111),IF(Sheet2!$D$54="PT ST",SUMIFS(Database!$AF$4:$AF$599981,Database!$D$4:$D$599981,Sheet2!A111),IF(Sheet2!$D$54="PT SBM",SUMIFS(Database!$AG$4:$AG$599981,Database!$D$4:$D$599981,Sheet2!A111),SUMIFS(Database!$AH$4:$AH$599981,Database!$D$4:$D$599981,Sheet2!A111)))))))))),IF($D$54="PT SP",SUMIFS(Database!$Y$4:$Y$599981,Database!$D$4:$D$599981,Sheet2!A111,Database!$C$4:$C$599981,Sheet2!$R$4),IF($D$54="PT SB",SUMIFS(Database!$Z$4:$Z$599981,Database!$D$4:$D$599981,Sheet2!A111,Database!$C$4:$C$599981,Sheet2!$R$4),IF(Sheet2!$D$54="PT CG",SUMIFS(Database!$AA$4:$AA$599981,Database!$D$4:$D$599981,Sheet2!A111,Database!$C$4:$C$599981,Sheet2!$R$4),IF(Sheet2!$D$54="PT ITP",SUMIFS(Database!$AB$4:$AB$599981,Database!$D$4:$D$599981,Sheet2!A111,Database!$C$4:$C$599981,Sheet2!$R$4),IF(Sheet2!$D$54="PT SBI",SUMIFS(Database!$AC$4:$AC$599981,Database!$D$4:$D$599981,Sheet2!$A111,Database!$C$4:$C$599981,Sheet2!$R$4),IF(Sheet2!$D$54="PT SG",SUMIFS(Database!$AD$4:$AD$599981,Database!$D$4:$D$599981,Sheet2!A111,Database!$C$4:$C$599981,Sheet2!$R$4),IF(Sheet2!$D$54="PT CCI",SUMIFS(Database!$AE$4:$AE$599981,Database!$D$4:$D$599981,Sheet2!A111,Database!$C$4:$C$599981,Sheet2!$R$4),IF(Sheet2!$D$54="PT ST",SUMIFS(Database!$AF$4:$AF$599981,Database!$D$4:$D$599981,Sheet2!A111,Database!$C$4:$C$599981,Sheet2!$R$4),IF(Sheet2!$D$54="PT SBM",SUMIFS(Database!$AG$4:$AG$599981,Database!$D$4:$D$599981,Sheet2!A111,Database!$C$4:$C$599981,Sheet2!$R$4),SUMIFS(Database!$AH$4:$AH$599981,Database!$D$4:$D$599981,Sheet2!A111,Database!$C$4:$C$599981,Sheet2!$R$4)))))))))))</f>
        <v>0</v>
      </c>
    </row>
    <row r="112" spans="1:4" x14ac:dyDescent="0.35">
      <c r="A112" t="s">
        <v>95</v>
      </c>
      <c r="D112">
        <f>IF($R$4="Nasional",IF($D$54="PT SP",SUMIFS(Database!$Y$4:$Y$599981,Database!$D$4:$D$599981,Sheet2!A112),IF($D$54="PT SB",SUMIFS(Database!$Z$4:$Z$599981,Database!$D$4:$D$599981,Sheet2!A112),IF(Sheet2!$D$54="PT CG",SUMIFS(Database!$AA$4:$AA$599981,Database!$D$4:$D$599981,Sheet2!A112),IF(Sheet2!$D$54="PT ITP",SUMIFS(Database!$AB$4:$AB$599981,Database!$D$4:$D$599981,Sheet2!A112),IF(Sheet2!$D$54="PT SBI",SUMIFS(Database!$AC$4:$AC$599981,Database!$D$4:$D$599981,Sheet2!$A112),IF(Sheet2!$D$54="PT SG",SUMIFS(Database!$AD$4:$AD$599981,Database!$D$4:$D$599981,Sheet2!A112),IF(Sheet2!$D$54="PT CCI",SUMIFS(Database!$AE$4:$AE$599981,Database!$D$4:$D$599981,Sheet2!A112),IF(Sheet2!$D$54="PT ST",SUMIFS(Database!$AF$4:$AF$599981,Database!$D$4:$D$599981,Sheet2!A112),IF(Sheet2!$D$54="PT SBM",SUMIFS(Database!$AG$4:$AG$599981,Database!$D$4:$D$599981,Sheet2!A112),SUMIFS(Database!$AH$4:$AH$599981,Database!$D$4:$D$599981,Sheet2!A112)))))))))),IF($D$54="PT SP",SUMIFS(Database!$Y$4:$Y$599981,Database!$D$4:$D$599981,Sheet2!A112,Database!$C$4:$C$599981,Sheet2!$R$4),IF($D$54="PT SB",SUMIFS(Database!$Z$4:$Z$599981,Database!$D$4:$D$599981,Sheet2!A112,Database!$C$4:$C$599981,Sheet2!$R$4),IF(Sheet2!$D$54="PT CG",SUMIFS(Database!$AA$4:$AA$599981,Database!$D$4:$D$599981,Sheet2!A112,Database!$C$4:$C$599981,Sheet2!$R$4),IF(Sheet2!$D$54="PT ITP",SUMIFS(Database!$AB$4:$AB$599981,Database!$D$4:$D$599981,Sheet2!A112,Database!$C$4:$C$599981,Sheet2!$R$4),IF(Sheet2!$D$54="PT SBI",SUMIFS(Database!$AC$4:$AC$599981,Database!$D$4:$D$599981,Sheet2!$A112,Database!$C$4:$C$599981,Sheet2!$R$4),IF(Sheet2!$D$54="PT SG",SUMIFS(Database!$AD$4:$AD$599981,Database!$D$4:$D$599981,Sheet2!A112,Database!$C$4:$C$599981,Sheet2!$R$4),IF(Sheet2!$D$54="PT CCI",SUMIFS(Database!$AE$4:$AE$599981,Database!$D$4:$D$599981,Sheet2!A112,Database!$C$4:$C$599981,Sheet2!$R$4),IF(Sheet2!$D$54="PT ST",SUMIFS(Database!$AF$4:$AF$599981,Database!$D$4:$D$599981,Sheet2!A112,Database!$C$4:$C$599981,Sheet2!$R$4),IF(Sheet2!$D$54="PT SBM",SUMIFS(Database!$AG$4:$AG$599981,Database!$D$4:$D$599981,Sheet2!A112,Database!$C$4:$C$599981,Sheet2!$R$4),SUMIFS(Database!$AH$4:$AH$599981,Database!$D$4:$D$599981,Sheet2!A112,Database!$C$4:$C$599981,Sheet2!$R$4)))))))))))</f>
        <v>0</v>
      </c>
    </row>
    <row r="113" spans="1:4" x14ac:dyDescent="0.35">
      <c r="A113" t="s">
        <v>96</v>
      </c>
      <c r="D113">
        <f>IF($R$4="Nasional",IF($D$54="PT SP",SUMIFS(Database!$Y$4:$Y$599981,Database!$D$4:$D$599981,Sheet2!A113),IF($D$54="PT SB",SUMIFS(Database!$Z$4:$Z$599981,Database!$D$4:$D$599981,Sheet2!A113),IF(Sheet2!$D$54="PT CG",SUMIFS(Database!$AA$4:$AA$599981,Database!$D$4:$D$599981,Sheet2!A113),IF(Sheet2!$D$54="PT ITP",SUMIFS(Database!$AB$4:$AB$599981,Database!$D$4:$D$599981,Sheet2!A113),IF(Sheet2!$D$54="PT SBI",SUMIFS(Database!$AC$4:$AC$599981,Database!$D$4:$D$599981,Sheet2!$A113),IF(Sheet2!$D$54="PT SG",SUMIFS(Database!$AD$4:$AD$599981,Database!$D$4:$D$599981,Sheet2!A113),IF(Sheet2!$D$54="PT CCI",SUMIFS(Database!$AE$4:$AE$599981,Database!$D$4:$D$599981,Sheet2!A113),IF(Sheet2!$D$54="PT ST",SUMIFS(Database!$AF$4:$AF$599981,Database!$D$4:$D$599981,Sheet2!A113),IF(Sheet2!$D$54="PT SBM",SUMIFS(Database!$AG$4:$AG$599981,Database!$D$4:$D$599981,Sheet2!A113),SUMIFS(Database!$AH$4:$AH$599981,Database!$D$4:$D$599981,Sheet2!A113)))))))))),IF($D$54="PT SP",SUMIFS(Database!$Y$4:$Y$599981,Database!$D$4:$D$599981,Sheet2!A113,Database!$C$4:$C$599981,Sheet2!$R$4),IF($D$54="PT SB",SUMIFS(Database!$Z$4:$Z$599981,Database!$D$4:$D$599981,Sheet2!A113,Database!$C$4:$C$599981,Sheet2!$R$4),IF(Sheet2!$D$54="PT CG",SUMIFS(Database!$AA$4:$AA$599981,Database!$D$4:$D$599981,Sheet2!A113,Database!$C$4:$C$599981,Sheet2!$R$4),IF(Sheet2!$D$54="PT ITP",SUMIFS(Database!$AB$4:$AB$599981,Database!$D$4:$D$599981,Sheet2!A113,Database!$C$4:$C$599981,Sheet2!$R$4),IF(Sheet2!$D$54="PT SBI",SUMIFS(Database!$AC$4:$AC$599981,Database!$D$4:$D$599981,Sheet2!$A113,Database!$C$4:$C$599981,Sheet2!$R$4),IF(Sheet2!$D$54="PT SG",SUMIFS(Database!$AD$4:$AD$599981,Database!$D$4:$D$599981,Sheet2!A113,Database!$C$4:$C$599981,Sheet2!$R$4),IF(Sheet2!$D$54="PT CCI",SUMIFS(Database!$AE$4:$AE$599981,Database!$D$4:$D$599981,Sheet2!A113,Database!$C$4:$C$599981,Sheet2!$R$4),IF(Sheet2!$D$54="PT ST",SUMIFS(Database!$AF$4:$AF$599981,Database!$D$4:$D$599981,Sheet2!A113,Database!$C$4:$C$599981,Sheet2!$R$4),IF(Sheet2!$D$54="PT SBM",SUMIFS(Database!$AG$4:$AG$599981,Database!$D$4:$D$599981,Sheet2!A113,Database!$C$4:$C$599981,Sheet2!$R$4),SUMIFS(Database!$AH$4:$AH$599981,Database!$D$4:$D$599981,Sheet2!A113,Database!$C$4:$C$599981,Sheet2!$R$4)))))))))))</f>
        <v>0</v>
      </c>
    </row>
    <row r="114" spans="1:4" x14ac:dyDescent="0.35">
      <c r="A114" t="s">
        <v>97</v>
      </c>
      <c r="D114">
        <f>IF($R$4="Nasional",IF($D$54="PT SP",SUMIFS(Database!$Y$4:$Y$599981,Database!$D$4:$D$599981,Sheet2!A114),IF($D$54="PT SB",SUMIFS(Database!$Z$4:$Z$599981,Database!$D$4:$D$599981,Sheet2!A114),IF(Sheet2!$D$54="PT CG",SUMIFS(Database!$AA$4:$AA$599981,Database!$D$4:$D$599981,Sheet2!A114),IF(Sheet2!$D$54="PT ITP",SUMIFS(Database!$AB$4:$AB$599981,Database!$D$4:$D$599981,Sheet2!A114),IF(Sheet2!$D$54="PT SBI",SUMIFS(Database!$AC$4:$AC$599981,Database!$D$4:$D$599981,Sheet2!$A114),IF(Sheet2!$D$54="PT SG",SUMIFS(Database!$AD$4:$AD$599981,Database!$D$4:$D$599981,Sheet2!A114),IF(Sheet2!$D$54="PT CCI",SUMIFS(Database!$AE$4:$AE$599981,Database!$D$4:$D$599981,Sheet2!A114),IF(Sheet2!$D$54="PT ST",SUMIFS(Database!$AF$4:$AF$599981,Database!$D$4:$D$599981,Sheet2!A114),IF(Sheet2!$D$54="PT SBM",SUMIFS(Database!$AG$4:$AG$599981,Database!$D$4:$D$599981,Sheet2!A114),SUMIFS(Database!$AH$4:$AH$599981,Database!$D$4:$D$599981,Sheet2!A114)))))))))),IF($D$54="PT SP",SUMIFS(Database!$Y$4:$Y$599981,Database!$D$4:$D$599981,Sheet2!A114,Database!$C$4:$C$599981,Sheet2!$R$4),IF($D$54="PT SB",SUMIFS(Database!$Z$4:$Z$599981,Database!$D$4:$D$599981,Sheet2!A114,Database!$C$4:$C$599981,Sheet2!$R$4),IF(Sheet2!$D$54="PT CG",SUMIFS(Database!$AA$4:$AA$599981,Database!$D$4:$D$599981,Sheet2!A114,Database!$C$4:$C$599981,Sheet2!$R$4),IF(Sheet2!$D$54="PT ITP",SUMIFS(Database!$AB$4:$AB$599981,Database!$D$4:$D$599981,Sheet2!A114,Database!$C$4:$C$599981,Sheet2!$R$4),IF(Sheet2!$D$54="PT SBI",SUMIFS(Database!$AC$4:$AC$599981,Database!$D$4:$D$599981,Sheet2!$A114,Database!$C$4:$C$599981,Sheet2!$R$4),IF(Sheet2!$D$54="PT SG",SUMIFS(Database!$AD$4:$AD$599981,Database!$D$4:$D$599981,Sheet2!A114,Database!$C$4:$C$599981,Sheet2!$R$4),IF(Sheet2!$D$54="PT CCI",SUMIFS(Database!$AE$4:$AE$599981,Database!$D$4:$D$599981,Sheet2!A114,Database!$C$4:$C$599981,Sheet2!$R$4),IF(Sheet2!$D$54="PT ST",SUMIFS(Database!$AF$4:$AF$599981,Database!$D$4:$D$599981,Sheet2!A114,Database!$C$4:$C$599981,Sheet2!$R$4),IF(Sheet2!$D$54="PT SBM",SUMIFS(Database!$AG$4:$AG$599981,Database!$D$4:$D$599981,Sheet2!A114,Database!$C$4:$C$599981,Sheet2!$R$4),SUMIFS(Database!$AH$4:$AH$599981,Database!$D$4:$D$599981,Sheet2!A114,Database!$C$4:$C$599981,Sheet2!$R$4)))))))))))</f>
        <v>0</v>
      </c>
    </row>
    <row r="115" spans="1:4" x14ac:dyDescent="0.35">
      <c r="A115" t="s">
        <v>99</v>
      </c>
      <c r="D115">
        <f>IF($R$4="Nasional",IF($D$54="PT SP",SUMIFS(Database!$Y$4:$Y$599981,Database!$D$4:$D$599981,Sheet2!A115),IF($D$54="PT SB",SUMIFS(Database!$Z$4:$Z$599981,Database!$D$4:$D$599981,Sheet2!A115),IF(Sheet2!$D$54="PT CG",SUMIFS(Database!$AA$4:$AA$599981,Database!$D$4:$D$599981,Sheet2!A115),IF(Sheet2!$D$54="PT ITP",SUMIFS(Database!$AB$4:$AB$599981,Database!$D$4:$D$599981,Sheet2!A115),IF(Sheet2!$D$54="PT SBI",SUMIFS(Database!$AC$4:$AC$599981,Database!$D$4:$D$599981,Sheet2!$A115),IF(Sheet2!$D$54="PT SG",SUMIFS(Database!$AD$4:$AD$599981,Database!$D$4:$D$599981,Sheet2!A115),IF(Sheet2!$D$54="PT CCI",SUMIFS(Database!$AE$4:$AE$599981,Database!$D$4:$D$599981,Sheet2!A115),IF(Sheet2!$D$54="PT ST",SUMIFS(Database!$AF$4:$AF$599981,Database!$D$4:$D$599981,Sheet2!A115),IF(Sheet2!$D$54="PT SBM",SUMIFS(Database!$AG$4:$AG$599981,Database!$D$4:$D$599981,Sheet2!A115),SUMIFS(Database!$AH$4:$AH$599981,Database!$D$4:$D$599981,Sheet2!A115)))))))))),IF($D$54="PT SP",SUMIFS(Database!$Y$4:$Y$599981,Database!$D$4:$D$599981,Sheet2!A115,Database!$C$4:$C$599981,Sheet2!$R$4),IF($D$54="PT SB",SUMIFS(Database!$Z$4:$Z$599981,Database!$D$4:$D$599981,Sheet2!A115,Database!$C$4:$C$599981,Sheet2!$R$4),IF(Sheet2!$D$54="PT CG",SUMIFS(Database!$AA$4:$AA$599981,Database!$D$4:$D$599981,Sheet2!A115,Database!$C$4:$C$599981,Sheet2!$R$4),IF(Sheet2!$D$54="PT ITP",SUMIFS(Database!$AB$4:$AB$599981,Database!$D$4:$D$599981,Sheet2!A115,Database!$C$4:$C$599981,Sheet2!$R$4),IF(Sheet2!$D$54="PT SBI",SUMIFS(Database!$AC$4:$AC$599981,Database!$D$4:$D$599981,Sheet2!$A115,Database!$C$4:$C$599981,Sheet2!$R$4),IF(Sheet2!$D$54="PT SG",SUMIFS(Database!$AD$4:$AD$599981,Database!$D$4:$D$599981,Sheet2!A115,Database!$C$4:$C$599981,Sheet2!$R$4),IF(Sheet2!$D$54="PT CCI",SUMIFS(Database!$AE$4:$AE$599981,Database!$D$4:$D$599981,Sheet2!A115,Database!$C$4:$C$599981,Sheet2!$R$4),IF(Sheet2!$D$54="PT ST",SUMIFS(Database!$AF$4:$AF$599981,Database!$D$4:$D$599981,Sheet2!A115,Database!$C$4:$C$599981,Sheet2!$R$4),IF(Sheet2!$D$54="PT SBM",SUMIFS(Database!$AG$4:$AG$599981,Database!$D$4:$D$599981,Sheet2!A115,Database!$C$4:$C$599981,Sheet2!$R$4),SUMIFS(Database!$AH$4:$AH$599981,Database!$D$4:$D$599981,Sheet2!A115,Database!$C$4:$C$599981,Sheet2!$R$4)))))))))))</f>
        <v>0</v>
      </c>
    </row>
    <row r="116" spans="1:4" x14ac:dyDescent="0.35">
      <c r="A116" t="s">
        <v>100</v>
      </c>
      <c r="D116">
        <f>IF($R$4="Nasional",IF($D$54="PT SP",SUMIFS(Database!$Y$4:$Y$599981,Database!$D$4:$D$599981,Sheet2!A116),IF($D$54="PT SB",SUMIFS(Database!$Z$4:$Z$599981,Database!$D$4:$D$599981,Sheet2!A116),IF(Sheet2!$D$54="PT CG",SUMIFS(Database!$AA$4:$AA$599981,Database!$D$4:$D$599981,Sheet2!A116),IF(Sheet2!$D$54="PT ITP",SUMIFS(Database!$AB$4:$AB$599981,Database!$D$4:$D$599981,Sheet2!A116),IF(Sheet2!$D$54="PT SBI",SUMIFS(Database!$AC$4:$AC$599981,Database!$D$4:$D$599981,Sheet2!$A116),IF(Sheet2!$D$54="PT SG",SUMIFS(Database!$AD$4:$AD$599981,Database!$D$4:$D$599981,Sheet2!A116),IF(Sheet2!$D$54="PT CCI",SUMIFS(Database!$AE$4:$AE$599981,Database!$D$4:$D$599981,Sheet2!A116),IF(Sheet2!$D$54="PT ST",SUMIFS(Database!$AF$4:$AF$599981,Database!$D$4:$D$599981,Sheet2!A116),IF(Sheet2!$D$54="PT SBM",SUMIFS(Database!$AG$4:$AG$599981,Database!$D$4:$D$599981,Sheet2!A116),SUMIFS(Database!$AH$4:$AH$599981,Database!$D$4:$D$599981,Sheet2!A116)))))))))),IF($D$54="PT SP",SUMIFS(Database!$Y$4:$Y$599981,Database!$D$4:$D$599981,Sheet2!A116,Database!$C$4:$C$599981,Sheet2!$R$4),IF($D$54="PT SB",SUMIFS(Database!$Z$4:$Z$599981,Database!$D$4:$D$599981,Sheet2!A116,Database!$C$4:$C$599981,Sheet2!$R$4),IF(Sheet2!$D$54="PT CG",SUMIFS(Database!$AA$4:$AA$599981,Database!$D$4:$D$599981,Sheet2!A116,Database!$C$4:$C$599981,Sheet2!$R$4),IF(Sheet2!$D$54="PT ITP",SUMIFS(Database!$AB$4:$AB$599981,Database!$D$4:$D$599981,Sheet2!A116,Database!$C$4:$C$599981,Sheet2!$R$4),IF(Sheet2!$D$54="PT SBI",SUMIFS(Database!$AC$4:$AC$599981,Database!$D$4:$D$599981,Sheet2!$A116,Database!$C$4:$C$599981,Sheet2!$R$4),IF(Sheet2!$D$54="PT SG",SUMIFS(Database!$AD$4:$AD$599981,Database!$D$4:$D$599981,Sheet2!A116,Database!$C$4:$C$599981,Sheet2!$R$4),IF(Sheet2!$D$54="PT CCI",SUMIFS(Database!$AE$4:$AE$599981,Database!$D$4:$D$599981,Sheet2!A116,Database!$C$4:$C$599981,Sheet2!$R$4),IF(Sheet2!$D$54="PT ST",SUMIFS(Database!$AF$4:$AF$599981,Database!$D$4:$D$599981,Sheet2!A116,Database!$C$4:$C$599981,Sheet2!$R$4),IF(Sheet2!$D$54="PT SBM",SUMIFS(Database!$AG$4:$AG$599981,Database!$D$4:$D$599981,Sheet2!A116,Database!$C$4:$C$599981,Sheet2!$R$4),SUMIFS(Database!$AH$4:$AH$599981,Database!$D$4:$D$599981,Sheet2!A116,Database!$C$4:$C$599981,Sheet2!$R$4)))))))))))</f>
        <v>0</v>
      </c>
    </row>
    <row r="117" spans="1:4" x14ac:dyDescent="0.35">
      <c r="A117" t="s">
        <v>131</v>
      </c>
      <c r="D117">
        <f>IF($R$4="Nasional",IF($D$54="PT SP",SUMIFS(Database!$Y$4:$Y$599981,Database!$D$4:$D$599981,Sheet2!A117),IF($D$54="PT SB",SUMIFS(Database!$Z$4:$Z$599981,Database!$D$4:$D$599981,Sheet2!A117),IF(Sheet2!$D$54="PT CG",SUMIFS(Database!$AA$4:$AA$599981,Database!$D$4:$D$599981,Sheet2!A117),IF(Sheet2!$D$54="PT ITP",SUMIFS(Database!$AB$4:$AB$599981,Database!$D$4:$D$599981,Sheet2!A117),IF(Sheet2!$D$54="PT SBI",SUMIFS(Database!$AC$4:$AC$599981,Database!$D$4:$D$599981,Sheet2!$A117),IF(Sheet2!$D$54="PT SG",SUMIFS(Database!$AD$4:$AD$599981,Database!$D$4:$D$599981,Sheet2!A117),IF(Sheet2!$D$54="PT CCI",SUMIFS(Database!$AE$4:$AE$599981,Database!$D$4:$D$599981,Sheet2!A117),IF(Sheet2!$D$54="PT ST",SUMIFS(Database!$AF$4:$AF$599981,Database!$D$4:$D$599981,Sheet2!A117),IF(Sheet2!$D$54="PT SBM",SUMIFS(Database!$AG$4:$AG$599981,Database!$D$4:$D$599981,Sheet2!A117),SUMIFS(Database!$AH$4:$AH$599981,Database!$D$4:$D$599981,Sheet2!A117)))))))))),IF($D$54="PT SP",SUMIFS(Database!$Y$4:$Y$599981,Database!$D$4:$D$599981,Sheet2!A117,Database!$C$4:$C$599981,Sheet2!$R$4),IF($D$54="PT SB",SUMIFS(Database!$Z$4:$Z$599981,Database!$D$4:$D$599981,Sheet2!A117,Database!$C$4:$C$599981,Sheet2!$R$4),IF(Sheet2!$D$54="PT CG",SUMIFS(Database!$AA$4:$AA$599981,Database!$D$4:$D$599981,Sheet2!A117,Database!$C$4:$C$599981,Sheet2!$R$4),IF(Sheet2!$D$54="PT ITP",SUMIFS(Database!$AB$4:$AB$599981,Database!$D$4:$D$599981,Sheet2!A117,Database!$C$4:$C$599981,Sheet2!$R$4),IF(Sheet2!$D$54="PT SBI",SUMIFS(Database!$AC$4:$AC$599981,Database!$D$4:$D$599981,Sheet2!$A117,Database!$C$4:$C$599981,Sheet2!$R$4),IF(Sheet2!$D$54="PT SG",SUMIFS(Database!$AD$4:$AD$599981,Database!$D$4:$D$599981,Sheet2!A117,Database!$C$4:$C$599981,Sheet2!$R$4),IF(Sheet2!$D$54="PT CCI",SUMIFS(Database!$AE$4:$AE$599981,Database!$D$4:$D$599981,Sheet2!A117,Database!$C$4:$C$599981,Sheet2!$R$4),IF(Sheet2!$D$54="PT ST",SUMIFS(Database!$AF$4:$AF$599981,Database!$D$4:$D$599981,Sheet2!A117,Database!$C$4:$C$599981,Sheet2!$R$4),IF(Sheet2!$D$54="PT SBM",SUMIFS(Database!$AG$4:$AG$599981,Database!$D$4:$D$599981,Sheet2!A117,Database!$C$4:$C$599981,Sheet2!$R$4),SUMIFS(Database!$AH$4:$AH$599981,Database!$D$4:$D$599981,Sheet2!A117,Database!$C$4:$C$599981,Sheet2!$R$4)))))))))))</f>
        <v>0</v>
      </c>
    </row>
    <row r="118" spans="1:4" x14ac:dyDescent="0.35">
      <c r="A118" t="s">
        <v>104</v>
      </c>
      <c r="D118">
        <f>IF($R$4="Nasional",IF($D$54="PT SP",SUMIFS(Database!$Y$4:$Y$599981,Database!$D$4:$D$599981,Sheet2!A118),IF($D$54="PT SB",SUMIFS(Database!$Z$4:$Z$599981,Database!$D$4:$D$599981,Sheet2!A118),IF(Sheet2!$D$54="PT CG",SUMIFS(Database!$AA$4:$AA$599981,Database!$D$4:$D$599981,Sheet2!A118),IF(Sheet2!$D$54="PT ITP",SUMIFS(Database!$AB$4:$AB$599981,Database!$D$4:$D$599981,Sheet2!A118),IF(Sheet2!$D$54="PT SBI",SUMIFS(Database!$AC$4:$AC$599981,Database!$D$4:$D$599981,Sheet2!$A118),IF(Sheet2!$D$54="PT SG",SUMIFS(Database!$AD$4:$AD$599981,Database!$D$4:$D$599981,Sheet2!A118),IF(Sheet2!$D$54="PT CCI",SUMIFS(Database!$AE$4:$AE$599981,Database!$D$4:$D$599981,Sheet2!A118),IF(Sheet2!$D$54="PT ST",SUMIFS(Database!$AF$4:$AF$599981,Database!$D$4:$D$599981,Sheet2!A118),IF(Sheet2!$D$54="PT SBM",SUMIFS(Database!$AG$4:$AG$599981,Database!$D$4:$D$599981,Sheet2!A118),SUMIFS(Database!$AH$4:$AH$599981,Database!$D$4:$D$599981,Sheet2!A118)))))))))),IF($D$54="PT SP",SUMIFS(Database!$Y$4:$Y$599981,Database!$D$4:$D$599981,Sheet2!A118,Database!$C$4:$C$599981,Sheet2!$R$4),IF($D$54="PT SB",SUMIFS(Database!$Z$4:$Z$599981,Database!$D$4:$D$599981,Sheet2!A118,Database!$C$4:$C$599981,Sheet2!$R$4),IF(Sheet2!$D$54="PT CG",SUMIFS(Database!$AA$4:$AA$599981,Database!$D$4:$D$599981,Sheet2!A118,Database!$C$4:$C$599981,Sheet2!$R$4),IF(Sheet2!$D$54="PT ITP",SUMIFS(Database!$AB$4:$AB$599981,Database!$D$4:$D$599981,Sheet2!A118,Database!$C$4:$C$599981,Sheet2!$R$4),IF(Sheet2!$D$54="PT SBI",SUMIFS(Database!$AC$4:$AC$599981,Database!$D$4:$D$599981,Sheet2!$A118,Database!$C$4:$C$599981,Sheet2!$R$4),IF(Sheet2!$D$54="PT SG",SUMIFS(Database!$AD$4:$AD$599981,Database!$D$4:$D$599981,Sheet2!A118,Database!$C$4:$C$599981,Sheet2!$R$4),IF(Sheet2!$D$54="PT CCI",SUMIFS(Database!$AE$4:$AE$599981,Database!$D$4:$D$599981,Sheet2!A118,Database!$C$4:$C$599981,Sheet2!$R$4),IF(Sheet2!$D$54="PT ST",SUMIFS(Database!$AF$4:$AF$599981,Database!$D$4:$D$599981,Sheet2!A118,Database!$C$4:$C$599981,Sheet2!$R$4),IF(Sheet2!$D$54="PT SBM",SUMIFS(Database!$AG$4:$AG$599981,Database!$D$4:$D$599981,Sheet2!A118,Database!$C$4:$C$599981,Sheet2!$R$4),SUMIFS(Database!$AH$4:$AH$599981,Database!$D$4:$D$599981,Sheet2!A118,Database!$C$4:$C$599981,Sheet2!$R$4)))))))))))</f>
        <v>0</v>
      </c>
    </row>
    <row r="119" spans="1:4" x14ac:dyDescent="0.35">
      <c r="A119" t="s">
        <v>107</v>
      </c>
      <c r="D119">
        <f>IF($R$4="Nasional",IF($D$54="PT SP",SUMIFS(Database!$Y$4:$Y$599981,Database!$D$4:$D$599981,Sheet2!A119),IF($D$54="PT SB",SUMIFS(Database!$Z$4:$Z$599981,Database!$D$4:$D$599981,Sheet2!A119),IF(Sheet2!$D$54="PT CG",SUMIFS(Database!$AA$4:$AA$599981,Database!$D$4:$D$599981,Sheet2!A119),IF(Sheet2!$D$54="PT ITP",SUMIFS(Database!$AB$4:$AB$599981,Database!$D$4:$D$599981,Sheet2!A119),IF(Sheet2!$D$54="PT SBI",SUMIFS(Database!$AC$4:$AC$599981,Database!$D$4:$D$599981,Sheet2!$A119),IF(Sheet2!$D$54="PT SG",SUMIFS(Database!$AD$4:$AD$599981,Database!$D$4:$D$599981,Sheet2!A119),IF(Sheet2!$D$54="PT CCI",SUMIFS(Database!$AE$4:$AE$599981,Database!$D$4:$D$599981,Sheet2!A119),IF(Sheet2!$D$54="PT ST",SUMIFS(Database!$AF$4:$AF$599981,Database!$D$4:$D$599981,Sheet2!A119),IF(Sheet2!$D$54="PT SBM",SUMIFS(Database!$AG$4:$AG$599981,Database!$D$4:$D$599981,Sheet2!A119),SUMIFS(Database!$AH$4:$AH$599981,Database!$D$4:$D$599981,Sheet2!A119)))))))))),IF($D$54="PT SP",SUMIFS(Database!$Y$4:$Y$599981,Database!$D$4:$D$599981,Sheet2!A119,Database!$C$4:$C$599981,Sheet2!$R$4),IF($D$54="PT SB",SUMIFS(Database!$Z$4:$Z$599981,Database!$D$4:$D$599981,Sheet2!A119,Database!$C$4:$C$599981,Sheet2!$R$4),IF(Sheet2!$D$54="PT CG",SUMIFS(Database!$AA$4:$AA$599981,Database!$D$4:$D$599981,Sheet2!A119,Database!$C$4:$C$599981,Sheet2!$R$4),IF(Sheet2!$D$54="PT ITP",SUMIFS(Database!$AB$4:$AB$599981,Database!$D$4:$D$599981,Sheet2!A119,Database!$C$4:$C$599981,Sheet2!$R$4),IF(Sheet2!$D$54="PT SBI",SUMIFS(Database!$AC$4:$AC$599981,Database!$D$4:$D$599981,Sheet2!$A119,Database!$C$4:$C$599981,Sheet2!$R$4),IF(Sheet2!$D$54="PT SG",SUMIFS(Database!$AD$4:$AD$599981,Database!$D$4:$D$599981,Sheet2!A119,Database!$C$4:$C$599981,Sheet2!$R$4),IF(Sheet2!$D$54="PT CCI",SUMIFS(Database!$AE$4:$AE$599981,Database!$D$4:$D$599981,Sheet2!A119,Database!$C$4:$C$599981,Sheet2!$R$4),IF(Sheet2!$D$54="PT ST",SUMIFS(Database!$AF$4:$AF$599981,Database!$D$4:$D$599981,Sheet2!A119,Database!$C$4:$C$599981,Sheet2!$R$4),IF(Sheet2!$D$54="PT SBM",SUMIFS(Database!$AG$4:$AG$599981,Database!$D$4:$D$599981,Sheet2!A119,Database!$C$4:$C$599981,Sheet2!$R$4),SUMIFS(Database!$AH$4:$AH$599981,Database!$D$4:$D$599981,Sheet2!A119,Database!$C$4:$C$599981,Sheet2!$R$4)))))))))))</f>
        <v>0</v>
      </c>
    </row>
    <row r="120" spans="1:4" x14ac:dyDescent="0.35">
      <c r="D120">
        <f>IF($R$4="Nasional",IF($D$54="PT SP",SUMIFS(Database!$Y$4:$Y$599981,Database!$D$4:$D$599981,Sheet2!A120),IF($D$54="PT SB",SUMIFS(Database!$Z$4:$Z$599981,Database!$D$4:$D$599981,Sheet2!A120),IF(Sheet2!$D$54="PT CG",SUMIFS(Database!$AA$4:$AA$599981,Database!$D$4:$D$599981,Sheet2!A120),IF(Sheet2!$D$54="PT ITP",SUMIFS(Database!$AB$4:$AB$599981,Database!$D$4:$D$599981,Sheet2!A120),IF(Sheet2!$D$54="PT SBI",SUMIFS(Database!$AC$4:$AC$599981,Database!$D$4:$D$599981,Sheet2!$A120),IF(Sheet2!$D$54="PT SG",SUMIFS(Database!$AD$4:$AD$599981,Database!$D$4:$D$599981,Sheet2!A120),IF(Sheet2!$D$54="PT CCI",SUMIFS(Database!$AE$4:$AE$599981,Database!$D$4:$D$599981,Sheet2!A120),IF(Sheet2!$D$54="PT ST",SUMIFS(Database!$AF$4:$AF$599981,Database!$D$4:$D$599981,Sheet2!A120),IF(Sheet2!$D$54="PT SBM",SUMIFS(Database!$AG$4:$AG$599981,Database!$D$4:$D$599981,Sheet2!A120),SUMIFS(Database!$AH$4:$AH$599981,Database!$D$4:$D$599981,Sheet2!A120)))))))))),IF($D$54="PT SP",SUMIFS(Database!$Y$4:$Y$599981,Database!$D$4:$D$599981,Sheet2!A120,Database!$C$4:$C$599981,Sheet2!$R$4),IF($D$54="PT SB",SUMIFS(Database!$Z$4:$Z$599981,Database!$D$4:$D$599981,Sheet2!A120,Database!$C$4:$C$599981,Sheet2!$R$4),IF(Sheet2!$D$54="PT CG",SUMIFS(Database!$AA$4:$AA$599981,Database!$D$4:$D$599981,Sheet2!A120,Database!$C$4:$C$599981,Sheet2!$R$4),IF(Sheet2!$D$54="PT ITP",SUMIFS(Database!$AB$4:$AB$599981,Database!$D$4:$D$599981,Sheet2!A120,Database!$C$4:$C$599981,Sheet2!$R$4),IF(Sheet2!$D$54="PT SBI",SUMIFS(Database!$AC$4:$AC$599981,Database!$D$4:$D$599981,Sheet2!$A120,Database!$C$4:$C$599981,Sheet2!$R$4),IF(Sheet2!$D$54="PT SG",SUMIFS(Database!$AD$4:$AD$599981,Database!$D$4:$D$599981,Sheet2!A120,Database!$C$4:$C$599981,Sheet2!$R$4),IF(Sheet2!$D$54="PT CCI",SUMIFS(Database!$AE$4:$AE$599981,Database!$D$4:$D$599981,Sheet2!A120,Database!$C$4:$C$599981,Sheet2!$R$4),IF(Sheet2!$D$54="PT ST",SUMIFS(Database!$AF$4:$AF$599981,Database!$D$4:$D$599981,Sheet2!A120,Database!$C$4:$C$599981,Sheet2!$R$4),IF(Sheet2!$D$54="PT SBM",SUMIFS(Database!$AG$4:$AG$599981,Database!$D$4:$D$599981,Sheet2!A120,Database!$C$4:$C$599981,Sheet2!$R$4),SUMIFS(Database!$AH$4:$AH$599981,Database!$D$4:$D$599981,Sheet2!A120,Database!$C$4:$C$599981,Sheet2!$R$4)))))))))))</f>
        <v>0</v>
      </c>
    </row>
    <row r="121" spans="1:4" x14ac:dyDescent="0.35">
      <c r="D121">
        <f>IF($R$4="Nasional",IF($D$54="PT SP",SUMIFS(Database!$Y$4:$Y$599981,Database!$D$4:$D$599981,Sheet2!A121),IF($D$54="PT SB",SUMIFS(Database!$Z$4:$Z$599981,Database!$D$4:$D$599981,Sheet2!A121),IF(Sheet2!$D$54="PT CG",SUMIFS(Database!$AA$4:$AA$599981,Database!$D$4:$D$599981,Sheet2!A121),IF(Sheet2!$D$54="PT ITP",SUMIFS(Database!$AB$4:$AB$599981,Database!$D$4:$D$599981,Sheet2!A121),IF(Sheet2!$D$54="PT SBI",SUMIFS(Database!$AC$4:$AC$599981,Database!$D$4:$D$599981,Sheet2!$A121),IF(Sheet2!$D$54="PT SG",SUMIFS(Database!$AD$4:$AD$599981,Database!$D$4:$D$599981,Sheet2!A121),IF(Sheet2!$D$54="PT CCI",SUMIFS(Database!$AE$4:$AE$599981,Database!$D$4:$D$599981,Sheet2!A121),IF(Sheet2!$D$54="PT ST",SUMIFS(Database!$AF$4:$AF$599981,Database!$D$4:$D$599981,Sheet2!A121),IF(Sheet2!$D$54="PT SBM",SUMIFS(Database!$AG$4:$AG$599981,Database!$D$4:$D$599981,Sheet2!A121),SUMIFS(Database!$AH$4:$AH$599981,Database!$D$4:$D$599981,Sheet2!A121)))))))))),IF($D$54="PT SP",SUMIFS(Database!$Y$4:$Y$599981,Database!$D$4:$D$599981,Sheet2!A121,Database!$C$4:$C$599981,Sheet2!$R$4),IF($D$54="PT SB",SUMIFS(Database!$Z$4:$Z$599981,Database!$D$4:$D$599981,Sheet2!A121,Database!$C$4:$C$599981,Sheet2!$R$4),IF(Sheet2!$D$54="PT CG",SUMIFS(Database!$AA$4:$AA$599981,Database!$D$4:$D$599981,Sheet2!A121,Database!$C$4:$C$599981,Sheet2!$R$4),IF(Sheet2!$D$54="PT ITP",SUMIFS(Database!$AB$4:$AB$599981,Database!$D$4:$D$599981,Sheet2!A121,Database!$C$4:$C$599981,Sheet2!$R$4),IF(Sheet2!$D$54="PT SBI",SUMIFS(Database!$AC$4:$AC$599981,Database!$D$4:$D$599981,Sheet2!$A121,Database!$C$4:$C$599981,Sheet2!$R$4),IF(Sheet2!$D$54="PT SG",SUMIFS(Database!$AD$4:$AD$599981,Database!$D$4:$D$599981,Sheet2!A121,Database!$C$4:$C$599981,Sheet2!$R$4),IF(Sheet2!$D$54="PT CCI",SUMIFS(Database!$AE$4:$AE$599981,Database!$D$4:$D$599981,Sheet2!A121,Database!$C$4:$C$599981,Sheet2!$R$4),IF(Sheet2!$D$54="PT ST",SUMIFS(Database!$AF$4:$AF$599981,Database!$D$4:$D$599981,Sheet2!A121,Database!$C$4:$C$599981,Sheet2!$R$4),IF(Sheet2!$D$54="PT SBM",SUMIFS(Database!$AG$4:$AG$599981,Database!$D$4:$D$599981,Sheet2!A121,Database!$C$4:$C$599981,Sheet2!$R$4),SUMIFS(Database!$AH$4:$AH$599981,Database!$D$4:$D$599981,Sheet2!A121,Database!$C$4:$C$599981,Sheet2!$R$4)))))))))))</f>
        <v>0</v>
      </c>
    </row>
    <row r="122" spans="1:4" x14ac:dyDescent="0.35">
      <c r="D122">
        <f>IF($R$4="Nasional",IF($D$54="PT SP",SUMIFS(Database!$Y$4:$Y$599981,Database!$D$4:$D$599981,Sheet2!A122),IF($D$54="PT SB",SUMIFS(Database!$Z$4:$Z$599981,Database!$D$4:$D$599981,Sheet2!A122),IF(Sheet2!$D$54="PT CG",SUMIFS(Database!$AA$4:$AA$599981,Database!$D$4:$D$599981,Sheet2!A122),IF(Sheet2!$D$54="PT ITP",SUMIFS(Database!$AB$4:$AB$599981,Database!$D$4:$D$599981,Sheet2!A122),IF(Sheet2!$D$54="PT SBI",SUMIFS(Database!$AC$4:$AC$599981,Database!$D$4:$D$599981,Sheet2!$A122),IF(Sheet2!$D$54="PT SG",SUMIFS(Database!$AD$4:$AD$599981,Database!$D$4:$D$599981,Sheet2!A122),IF(Sheet2!$D$54="PT CCI",SUMIFS(Database!$AE$4:$AE$599981,Database!$D$4:$D$599981,Sheet2!A122),IF(Sheet2!$D$54="PT ST",SUMIFS(Database!$AF$4:$AF$599981,Database!$D$4:$D$599981,Sheet2!A122),IF(Sheet2!$D$54="PT SBM",SUMIFS(Database!$AG$4:$AG$599981,Database!$D$4:$D$599981,Sheet2!A122),SUMIFS(Database!$AH$4:$AH$599981,Database!$D$4:$D$599981,Sheet2!A122)))))))))),IF($D$54="PT SP",SUMIFS(Database!$Y$4:$Y$599981,Database!$D$4:$D$599981,Sheet2!A122,Database!$C$4:$C$599981,Sheet2!$R$4),IF($D$54="PT SB",SUMIFS(Database!$Z$4:$Z$599981,Database!$D$4:$D$599981,Sheet2!A122,Database!$C$4:$C$599981,Sheet2!$R$4),IF(Sheet2!$D$54="PT CG",SUMIFS(Database!$AA$4:$AA$599981,Database!$D$4:$D$599981,Sheet2!A122,Database!$C$4:$C$599981,Sheet2!$R$4),IF(Sheet2!$D$54="PT ITP",SUMIFS(Database!$AB$4:$AB$599981,Database!$D$4:$D$599981,Sheet2!A122,Database!$C$4:$C$599981,Sheet2!$R$4),IF(Sheet2!$D$54="PT SBI",SUMIFS(Database!$AC$4:$AC$599981,Database!$D$4:$D$599981,Sheet2!$A122,Database!$C$4:$C$599981,Sheet2!$R$4),IF(Sheet2!$D$54="PT SG",SUMIFS(Database!$AD$4:$AD$599981,Database!$D$4:$D$599981,Sheet2!A122,Database!$C$4:$C$599981,Sheet2!$R$4),IF(Sheet2!$D$54="PT CCI",SUMIFS(Database!$AE$4:$AE$599981,Database!$D$4:$D$599981,Sheet2!A122,Database!$C$4:$C$599981,Sheet2!$R$4),IF(Sheet2!$D$54="PT ST",SUMIFS(Database!$AF$4:$AF$599981,Database!$D$4:$D$599981,Sheet2!A122,Database!$C$4:$C$599981,Sheet2!$R$4),IF(Sheet2!$D$54="PT SBM",SUMIFS(Database!$AG$4:$AG$599981,Database!$D$4:$D$599981,Sheet2!A122,Database!$C$4:$C$599981,Sheet2!$R$4),SUMIFS(Database!$AH$4:$AH$599981,Database!$D$4:$D$599981,Sheet2!A122,Database!$C$4:$C$599981,Sheet2!$R$4)))))))))))</f>
        <v>0</v>
      </c>
    </row>
    <row r="123" spans="1:4" x14ac:dyDescent="0.35">
      <c r="D123">
        <f>IF($R$4="Nasional",IF($D$54="PT SP",SUMIFS(Database!$Y$4:$Y$599981,Database!$D$4:$D$599981,Sheet2!A123),IF($D$54="PT SB",SUMIFS(Database!$Z$4:$Z$599981,Database!$D$4:$D$599981,Sheet2!A123),IF(Sheet2!$D$54="PT CG",SUMIFS(Database!$AA$4:$AA$599981,Database!$D$4:$D$599981,Sheet2!A123),IF(Sheet2!$D$54="PT ITP",SUMIFS(Database!$AB$4:$AB$599981,Database!$D$4:$D$599981,Sheet2!A123),IF(Sheet2!$D$54="PT SBI",SUMIFS(Database!$AC$4:$AC$599981,Database!$D$4:$D$599981,Sheet2!$A123),IF(Sheet2!$D$54="PT SG",SUMIFS(Database!$AD$4:$AD$599981,Database!$D$4:$D$599981,Sheet2!A123),IF(Sheet2!$D$54="PT CCI",SUMIFS(Database!$AE$4:$AE$599981,Database!$D$4:$D$599981,Sheet2!A123),IF(Sheet2!$D$54="PT ST",SUMIFS(Database!$AF$4:$AF$599981,Database!$D$4:$D$599981,Sheet2!A123),IF(Sheet2!$D$54="PT SBM",SUMIFS(Database!$AG$4:$AG$599981,Database!$D$4:$D$599981,Sheet2!A123),SUMIFS(Database!$AH$4:$AH$599981,Database!$D$4:$D$599981,Sheet2!A123)))))))))),IF($D$54="PT SP",SUMIFS(Database!$Y$4:$Y$599981,Database!$D$4:$D$599981,Sheet2!A123,Database!$C$4:$C$599981,Sheet2!$R$4),IF($D$54="PT SB",SUMIFS(Database!$Z$4:$Z$599981,Database!$D$4:$D$599981,Sheet2!A123,Database!$C$4:$C$599981,Sheet2!$R$4),IF(Sheet2!$D$54="PT CG",SUMIFS(Database!$AA$4:$AA$599981,Database!$D$4:$D$599981,Sheet2!A123,Database!$C$4:$C$599981,Sheet2!$R$4),IF(Sheet2!$D$54="PT ITP",SUMIFS(Database!$AB$4:$AB$599981,Database!$D$4:$D$599981,Sheet2!A123,Database!$C$4:$C$599981,Sheet2!$R$4),IF(Sheet2!$D$54="PT SBI",SUMIFS(Database!$AC$4:$AC$599981,Database!$D$4:$D$599981,Sheet2!$A123,Database!$C$4:$C$599981,Sheet2!$R$4),IF(Sheet2!$D$54="PT SG",SUMIFS(Database!$AD$4:$AD$599981,Database!$D$4:$D$599981,Sheet2!A123,Database!$C$4:$C$599981,Sheet2!$R$4),IF(Sheet2!$D$54="PT CCI",SUMIFS(Database!$AE$4:$AE$599981,Database!$D$4:$D$599981,Sheet2!A123,Database!$C$4:$C$599981,Sheet2!$R$4),IF(Sheet2!$D$54="PT ST",SUMIFS(Database!$AF$4:$AF$599981,Database!$D$4:$D$599981,Sheet2!A123,Database!$C$4:$C$599981,Sheet2!$R$4),IF(Sheet2!$D$54="PT SBM",SUMIFS(Database!$AG$4:$AG$599981,Database!$D$4:$D$599981,Sheet2!A123,Database!$C$4:$C$599981,Sheet2!$R$4),SUMIFS(Database!$AH$4:$AH$599981,Database!$D$4:$D$599981,Sheet2!A123,Database!$C$4:$C$599981,Sheet2!$R$4)))))))))))</f>
        <v>0</v>
      </c>
    </row>
    <row r="124" spans="1:4" x14ac:dyDescent="0.35">
      <c r="D124">
        <f>IF($R$4="Nasional",IF($D$54="PT SP",SUMIFS(Database!$Y$4:$Y$599981,Database!$D$4:$D$599981,Sheet2!A124),IF($D$54="PT SB",SUMIFS(Database!$Z$4:$Z$599981,Database!$D$4:$D$599981,Sheet2!A124),IF(Sheet2!$D$54="PT CG",SUMIFS(Database!$AA$4:$AA$599981,Database!$D$4:$D$599981,Sheet2!A124),IF(Sheet2!$D$54="PT ITP",SUMIFS(Database!$AB$4:$AB$599981,Database!$D$4:$D$599981,Sheet2!A124),IF(Sheet2!$D$54="PT SBI",SUMIFS(Database!$AC$4:$AC$599981,Database!$D$4:$D$599981,Sheet2!$A124),IF(Sheet2!$D$54="PT SG",SUMIFS(Database!$AD$4:$AD$599981,Database!$D$4:$D$599981,Sheet2!A124),IF(Sheet2!$D$54="PT CCI",SUMIFS(Database!$AE$4:$AE$599981,Database!$D$4:$D$599981,Sheet2!A124),IF(Sheet2!$D$54="PT ST",SUMIFS(Database!$AF$4:$AF$599981,Database!$D$4:$D$599981,Sheet2!A124),IF(Sheet2!$D$54="PT SBM",SUMIFS(Database!$AG$4:$AG$599981,Database!$D$4:$D$599981,Sheet2!A124),SUMIFS(Database!$AH$4:$AH$599981,Database!$D$4:$D$599981,Sheet2!A124)))))))))),IF($D$54="PT SP",SUMIFS(Database!$Y$4:$Y$599981,Database!$D$4:$D$599981,Sheet2!A124,Database!$C$4:$C$599981,Sheet2!$R$4),IF($D$54="PT SB",SUMIFS(Database!$Z$4:$Z$599981,Database!$D$4:$D$599981,Sheet2!A124,Database!$C$4:$C$599981,Sheet2!$R$4),IF(Sheet2!$D$54="PT CG",SUMIFS(Database!$AA$4:$AA$599981,Database!$D$4:$D$599981,Sheet2!A124,Database!$C$4:$C$599981,Sheet2!$R$4),IF(Sheet2!$D$54="PT ITP",SUMIFS(Database!$AB$4:$AB$599981,Database!$D$4:$D$599981,Sheet2!A124,Database!$C$4:$C$599981,Sheet2!$R$4),IF(Sheet2!$D$54="PT SBI",SUMIFS(Database!$AC$4:$AC$599981,Database!$D$4:$D$599981,Sheet2!$A124,Database!$C$4:$C$599981,Sheet2!$R$4),IF(Sheet2!$D$54="PT SG",SUMIFS(Database!$AD$4:$AD$599981,Database!$D$4:$D$599981,Sheet2!A124,Database!$C$4:$C$599981,Sheet2!$R$4),IF(Sheet2!$D$54="PT CCI",SUMIFS(Database!$AE$4:$AE$599981,Database!$D$4:$D$599981,Sheet2!A124,Database!$C$4:$C$599981,Sheet2!$R$4),IF(Sheet2!$D$54="PT ST",SUMIFS(Database!$AF$4:$AF$599981,Database!$D$4:$D$599981,Sheet2!A124,Database!$C$4:$C$599981,Sheet2!$R$4),IF(Sheet2!$D$54="PT SBM",SUMIFS(Database!$AG$4:$AG$599981,Database!$D$4:$D$599981,Sheet2!A124,Database!$C$4:$C$599981,Sheet2!$R$4),SUMIFS(Database!$AH$4:$AH$599981,Database!$D$4:$D$599981,Sheet2!A124,Database!$C$4:$C$599981,Sheet2!$R$4)))))))))))</f>
        <v>0</v>
      </c>
    </row>
    <row r="125" spans="1:4" x14ac:dyDescent="0.35">
      <c r="D125">
        <f>IF($R$4="Nasional",IF($D$54="PT SP",SUMIFS(Database!$Y$4:$Y$599981,Database!$D$4:$D$599981,Sheet2!A125),IF($D$54="PT SB",SUMIFS(Database!$Z$4:$Z$599981,Database!$D$4:$D$599981,Sheet2!A125),IF(Sheet2!$D$54="PT CG",SUMIFS(Database!$AA$4:$AA$599981,Database!$D$4:$D$599981,Sheet2!A125),IF(Sheet2!$D$54="PT ITP",SUMIFS(Database!$AB$4:$AB$599981,Database!$D$4:$D$599981,Sheet2!A125),IF(Sheet2!$D$54="PT SBI",SUMIFS(Database!$AC$4:$AC$599981,Database!$D$4:$D$599981,Sheet2!$A125),IF(Sheet2!$D$54="PT SG",SUMIFS(Database!$AD$4:$AD$599981,Database!$D$4:$D$599981,Sheet2!A125),IF(Sheet2!$D$54="PT CCI",SUMIFS(Database!$AE$4:$AE$599981,Database!$D$4:$D$599981,Sheet2!A125),IF(Sheet2!$D$54="PT ST",SUMIFS(Database!$AF$4:$AF$599981,Database!$D$4:$D$599981,Sheet2!A125),IF(Sheet2!$D$54="PT SBM",SUMIFS(Database!$AG$4:$AG$599981,Database!$D$4:$D$599981,Sheet2!A125),SUMIFS(Database!$AH$4:$AH$599981,Database!$D$4:$D$599981,Sheet2!A125)))))))))),IF($D$54="PT SP",SUMIFS(Database!$Y$4:$Y$599981,Database!$D$4:$D$599981,Sheet2!A125,Database!$C$4:$C$599981,Sheet2!$R$4),IF($D$54="PT SB",SUMIFS(Database!$Z$4:$Z$599981,Database!$D$4:$D$599981,Sheet2!A125,Database!$C$4:$C$599981,Sheet2!$R$4),IF(Sheet2!$D$54="PT CG",SUMIFS(Database!$AA$4:$AA$599981,Database!$D$4:$D$599981,Sheet2!A125,Database!$C$4:$C$599981,Sheet2!$R$4),IF(Sheet2!$D$54="PT ITP",SUMIFS(Database!$AB$4:$AB$599981,Database!$D$4:$D$599981,Sheet2!A125,Database!$C$4:$C$599981,Sheet2!$R$4),IF(Sheet2!$D$54="PT SBI",SUMIFS(Database!$AC$4:$AC$599981,Database!$D$4:$D$599981,Sheet2!$A125,Database!$C$4:$C$599981,Sheet2!$R$4),IF(Sheet2!$D$54="PT SG",SUMIFS(Database!$AD$4:$AD$599981,Database!$D$4:$D$599981,Sheet2!A125,Database!$C$4:$C$599981,Sheet2!$R$4),IF(Sheet2!$D$54="PT CCI",SUMIFS(Database!$AE$4:$AE$599981,Database!$D$4:$D$599981,Sheet2!A125,Database!$C$4:$C$599981,Sheet2!$R$4),IF(Sheet2!$D$54="PT ST",SUMIFS(Database!$AF$4:$AF$599981,Database!$D$4:$D$599981,Sheet2!A125,Database!$C$4:$C$599981,Sheet2!$R$4),IF(Sheet2!$D$54="PT SBM",SUMIFS(Database!$AG$4:$AG$599981,Database!$D$4:$D$599981,Sheet2!A125,Database!$C$4:$C$599981,Sheet2!$R$4),SUMIFS(Database!$AH$4:$AH$599981,Database!$D$4:$D$599981,Sheet2!A125,Database!$C$4:$C$599981,Sheet2!$R$4)))))))))))</f>
        <v>0</v>
      </c>
    </row>
    <row r="126" spans="1:4" x14ac:dyDescent="0.35">
      <c r="D126">
        <f>IF($R$4="Nasional",IF($D$54="PT SP",SUMIFS(Database!$Y$4:$Y$599981,Database!$D$4:$D$599981,Sheet2!A126),IF($D$54="PT SB",SUMIFS(Database!$Z$4:$Z$599981,Database!$D$4:$D$599981,Sheet2!A126),IF(Sheet2!$D$54="PT CG",SUMIFS(Database!$AA$4:$AA$599981,Database!$D$4:$D$599981,Sheet2!A126),IF(Sheet2!$D$54="PT ITP",SUMIFS(Database!$AB$4:$AB$599981,Database!$D$4:$D$599981,Sheet2!A126),IF(Sheet2!$D$54="PT SBI",SUMIFS(Database!$AC$4:$AC$599981,Database!$D$4:$D$599981,Sheet2!$A126),IF(Sheet2!$D$54="PT SG",SUMIFS(Database!$AD$4:$AD$599981,Database!$D$4:$D$599981,Sheet2!A126),IF(Sheet2!$D$54="PT CCI",SUMIFS(Database!$AE$4:$AE$599981,Database!$D$4:$D$599981,Sheet2!A126),IF(Sheet2!$D$54="PT ST",SUMIFS(Database!$AF$4:$AF$599981,Database!$D$4:$D$599981,Sheet2!A126),IF(Sheet2!$D$54="PT SBM",SUMIFS(Database!$AG$4:$AG$599981,Database!$D$4:$D$599981,Sheet2!A126),SUMIFS(Database!$AH$4:$AH$599981,Database!$D$4:$D$599981,Sheet2!A126)))))))))),IF($D$54="PT SP",SUMIFS(Database!$Y$4:$Y$599981,Database!$D$4:$D$599981,Sheet2!A126,Database!$C$4:$C$599981,Sheet2!$R$4),IF($D$54="PT SB",SUMIFS(Database!$Z$4:$Z$599981,Database!$D$4:$D$599981,Sheet2!A126,Database!$C$4:$C$599981,Sheet2!$R$4),IF(Sheet2!$D$54="PT CG",SUMIFS(Database!$AA$4:$AA$599981,Database!$D$4:$D$599981,Sheet2!A126,Database!$C$4:$C$599981,Sheet2!$R$4),IF(Sheet2!$D$54="PT ITP",SUMIFS(Database!$AB$4:$AB$599981,Database!$D$4:$D$599981,Sheet2!A126,Database!$C$4:$C$599981,Sheet2!$R$4),IF(Sheet2!$D$54="PT SBI",SUMIFS(Database!$AC$4:$AC$599981,Database!$D$4:$D$599981,Sheet2!$A126,Database!$C$4:$C$599981,Sheet2!$R$4),IF(Sheet2!$D$54="PT SG",SUMIFS(Database!$AD$4:$AD$599981,Database!$D$4:$D$599981,Sheet2!A126,Database!$C$4:$C$599981,Sheet2!$R$4),IF(Sheet2!$D$54="PT CCI",SUMIFS(Database!$AE$4:$AE$599981,Database!$D$4:$D$599981,Sheet2!A126,Database!$C$4:$C$599981,Sheet2!$R$4),IF(Sheet2!$D$54="PT ST",SUMIFS(Database!$AF$4:$AF$599981,Database!$D$4:$D$599981,Sheet2!A126,Database!$C$4:$C$599981,Sheet2!$R$4),IF(Sheet2!$D$54="PT SBM",SUMIFS(Database!$AG$4:$AG$599981,Database!$D$4:$D$599981,Sheet2!A126,Database!$C$4:$C$599981,Sheet2!$R$4),SUMIFS(Database!$AH$4:$AH$599981,Database!$D$4:$D$599981,Sheet2!A126,Database!$C$4:$C$599981,Sheet2!$R$4)))))))))))</f>
        <v>0</v>
      </c>
    </row>
  </sheetData>
  <mergeCells count="7">
    <mergeCell ref="A53:I53"/>
    <mergeCell ref="S32:Y32"/>
    <mergeCell ref="S33:T33"/>
    <mergeCell ref="G49:H49"/>
    <mergeCell ref="A3:G3"/>
    <mergeCell ref="A15:G15"/>
    <mergeCell ref="A48:G48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dragekspornegara">
                <anchor moveWithCells="1" sizeWithCells="1">
                  <from>
                    <xdr:col>6</xdr:col>
                    <xdr:colOff>146050</xdr:colOff>
                    <xdr:row>56</xdr:row>
                    <xdr:rowOff>19050</xdr:rowOff>
                  </from>
                  <to>
                    <xdr:col>7</xdr:col>
                    <xdr:colOff>260350</xdr:colOff>
                    <xdr:row>57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rafik">
                <anchor moveWithCells="1" sizeWithCells="1">
                  <from>
                    <xdr:col>14</xdr:col>
                    <xdr:colOff>393700</xdr:colOff>
                    <xdr:row>5</xdr:row>
                    <xdr:rowOff>57150</xdr:rowOff>
                  </from>
                  <to>
                    <xdr:col>16</xdr:col>
                    <xdr:colOff>190500</xdr:colOff>
                    <xdr:row>6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B8566-2B0A-463F-8506-F4B581FF1D7B}">
  <sheetPr codeName="Sheet6"/>
  <dimension ref="A1:D13"/>
  <sheetViews>
    <sheetView workbookViewId="0">
      <selection activeCell="D2" sqref="D2:D577"/>
    </sheetView>
  </sheetViews>
  <sheetFormatPr defaultRowHeight="14.5" x14ac:dyDescent="0.35"/>
  <cols>
    <col min="1" max="1" width="10.81640625" bestFit="1" customWidth="1"/>
    <col min="3" max="3" width="12.1796875" customWidth="1"/>
  </cols>
  <sheetData>
    <row r="1" spans="1:4" x14ac:dyDescent="0.35">
      <c r="A1" s="9" t="s">
        <v>39</v>
      </c>
      <c r="B1" s="9" t="s">
        <v>2</v>
      </c>
      <c r="C1" s="9" t="s">
        <v>3</v>
      </c>
      <c r="D1" s="35" t="s">
        <v>38</v>
      </c>
    </row>
    <row r="2" spans="1:4" x14ac:dyDescent="0.35">
      <c r="A2" t="s">
        <v>18</v>
      </c>
      <c r="B2">
        <v>2016</v>
      </c>
      <c r="C2" t="s">
        <v>32</v>
      </c>
      <c r="D2" s="45" t="s">
        <v>44</v>
      </c>
    </row>
    <row r="3" spans="1:4" x14ac:dyDescent="0.35">
      <c r="A3" t="s">
        <v>19</v>
      </c>
      <c r="B3">
        <v>2017</v>
      </c>
      <c r="C3" t="s">
        <v>135</v>
      </c>
      <c r="D3" s="45" t="s">
        <v>45</v>
      </c>
    </row>
    <row r="4" spans="1:4" x14ac:dyDescent="0.35">
      <c r="A4" t="s">
        <v>20</v>
      </c>
      <c r="B4">
        <v>2018</v>
      </c>
      <c r="C4" t="s">
        <v>133</v>
      </c>
      <c r="D4" s="45" t="s">
        <v>44</v>
      </c>
    </row>
    <row r="5" spans="1:4" x14ac:dyDescent="0.35">
      <c r="A5" t="s">
        <v>21</v>
      </c>
      <c r="B5">
        <v>2019</v>
      </c>
      <c r="C5" t="s">
        <v>134</v>
      </c>
      <c r="D5" s="45" t="s">
        <v>46</v>
      </c>
    </row>
    <row r="6" spans="1:4" x14ac:dyDescent="0.35">
      <c r="A6" t="s">
        <v>22</v>
      </c>
      <c r="B6">
        <v>2020</v>
      </c>
      <c r="C6" t="s">
        <v>33</v>
      </c>
      <c r="D6" s="45" t="s">
        <v>139</v>
      </c>
    </row>
    <row r="7" spans="1:4" x14ac:dyDescent="0.35">
      <c r="A7" t="s">
        <v>23</v>
      </c>
      <c r="B7">
        <v>2021</v>
      </c>
      <c r="C7" t="s">
        <v>34</v>
      </c>
      <c r="D7" s="45" t="s">
        <v>69</v>
      </c>
    </row>
    <row r="8" spans="1:4" x14ac:dyDescent="0.35">
      <c r="A8" t="s">
        <v>25</v>
      </c>
      <c r="B8">
        <v>2022</v>
      </c>
      <c r="C8" t="s">
        <v>136</v>
      </c>
      <c r="D8" s="45" t="s">
        <v>140</v>
      </c>
    </row>
    <row r="9" spans="1:4" x14ac:dyDescent="0.35">
      <c r="A9" t="s">
        <v>26</v>
      </c>
      <c r="C9" t="s">
        <v>74</v>
      </c>
      <c r="D9" s="45" t="s">
        <v>141</v>
      </c>
    </row>
    <row r="10" spans="1:4" x14ac:dyDescent="0.35">
      <c r="A10" t="s">
        <v>27</v>
      </c>
      <c r="C10" t="s">
        <v>137</v>
      </c>
      <c r="D10" s="45" t="s">
        <v>142</v>
      </c>
    </row>
    <row r="11" spans="1:4" x14ac:dyDescent="0.35">
      <c r="A11" t="s">
        <v>28</v>
      </c>
      <c r="C11" t="s">
        <v>138</v>
      </c>
      <c r="D11" s="45" t="s">
        <v>143</v>
      </c>
    </row>
    <row r="12" spans="1:4" x14ac:dyDescent="0.35">
      <c r="A12" t="s">
        <v>29</v>
      </c>
      <c r="D12" s="45" t="s">
        <v>54</v>
      </c>
    </row>
    <row r="13" spans="1:4" x14ac:dyDescent="0.35">
      <c r="A13" t="s">
        <v>30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move">
                <anchor moveWithCells="1" sizeWithCells="1">
                  <from>
                    <xdr:col>8</xdr:col>
                    <xdr:colOff>19050</xdr:colOff>
                    <xdr:row>1</xdr:row>
                    <xdr:rowOff>0</xdr:rowOff>
                  </from>
                  <to>
                    <xdr:col>10</xdr:col>
                    <xdr:colOff>247650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Clinker</vt:lpstr>
      <vt:lpstr>Semen</vt:lpstr>
      <vt:lpstr>Database</vt:lpstr>
      <vt:lpstr>Sheet2</vt:lpstr>
      <vt:lpstr>AlatBantu</vt:lpstr>
      <vt:lpstr>outputnegara</vt:lpstr>
      <vt:lpstr>outputPT</vt:lpstr>
      <vt:lpstr>outputTHN</vt:lpstr>
      <vt:lpstr>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Nur Jihan Salsabiila</cp:lastModifiedBy>
  <dcterms:created xsi:type="dcterms:W3CDTF">2021-10-26T03:04:37Z</dcterms:created>
  <dcterms:modified xsi:type="dcterms:W3CDTF">2024-02-07T10:29:20Z</dcterms:modified>
</cp:coreProperties>
</file>